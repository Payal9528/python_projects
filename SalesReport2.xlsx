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ECD47E7C9B1E7536/Documents/"/>
    </mc:Choice>
  </mc:AlternateContent>
  <xr:revisionPtr revIDLastSave="0" documentId="14_{D8CF6FBE-FE13-4229-9312-81178064D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</sheets>
  <calcPr calcId="191029"/>
  <pivotCaches>
    <pivotCache cacheId="0" r:id="rId5"/>
  </pivotCaches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H1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" i="1"/>
  <c r="I2" i="1"/>
  <c r="I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</calcChain>
</file>

<file path=xl/sharedStrings.xml><?xml version="1.0" encoding="utf-8"?>
<sst xmlns="http://schemas.openxmlformats.org/spreadsheetml/2006/main" count="658" uniqueCount="118">
  <si>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</si>
  <si>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</si>
  <si>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</si>
  <si>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</si>
  <si>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</si>
  <si>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</si>
  <si>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</si>
  <si>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</si>
  <si>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</si>
  <si>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</si>
  <si>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</si>
  <si>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</si>
  <si>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</si>
  <si>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</si>
  <si>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</si>
  <si>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</si>
  <si>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</si>
  <si>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</si>
  <si>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</si>
  <si>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</si>
  <si>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</si>
  <si>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</si>
  <si>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</si>
  <si>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</si>
  <si>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</si>
  <si>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</si>
  <si>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</si>
  <si>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</si>
  <si>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</si>
  <si>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</si>
  <si>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</si>
  <si>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</si>
  <si>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</si>
  <si>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</si>
  <si>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</si>
  <si>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</si>
  <si>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</si>
  <si>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</si>
  <si>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</si>
  <si>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</si>
  <si>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</si>
  <si>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</si>
  <si>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</si>
  <si>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</si>
  <si>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</si>
  <si>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</si>
  <si>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</si>
  <si>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</si>
  <si>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</si>
  <si>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</si>
  <si>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</si>
  <si>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</si>
  <si>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</si>
  <si>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</si>
  <si>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</si>
  <si>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</si>
  <si>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</si>
  <si>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</si>
  <si>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</si>
  <si>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</si>
  <si>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</si>
  <si>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</si>
  <si>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</si>
  <si>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</si>
  <si>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</si>
  <si>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</si>
  <si>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</si>
  <si>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</si>
  <si>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</si>
  <si>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</si>
  <si>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</si>
  <si>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</si>
  <si>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</si>
  <si>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</si>
  <si>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</si>
  <si>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</si>
  <si>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</si>
  <si>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</si>
  <si>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</si>
  <si>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</si>
  <si>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</si>
  <si>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</si>
  <si>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</si>
  <si>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</si>
  <si>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</si>
  <si>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</si>
  <si>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</si>
  <si>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</si>
  <si>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</si>
  <si>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</si>
  <si>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</si>
  <si>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</si>
  <si>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</si>
  <si>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</si>
  <si>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</si>
  <si>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</si>
  <si>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</si>
  <si>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</si>
  <si>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</si>
  <si>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</si>
  <si>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</si>
  <si>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</si>
  <si>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</si>
  <si>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</si>
  <si>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</si>
  <si>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</si>
  <si>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</si>
  <si>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</si>
  <si>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</si>
  <si>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</si>
  <si>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</si>
  <si>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</si>
  <si>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</si>
  <si>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</si>
  <si>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</si>
  <si>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</si>
  <si>
    <t>AVERAGE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</si>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</sst>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wrapText="1"/>
    </xf>
    <xf numFmtId="0" fontId="0" fillId="3" borderId="0" xfId="0" applyFill="1"/>
    <xf numFmtId="0" fontId="2" fillId="3" borderId="0" xfId="0" applyFont="1" applyFill="1"/>
    <xf numFmtId="166" fontId="0" fillId="0" borderId="0" xfId="0" applyNumberFormat="1"/>
  </cellXfs>
  <cellStyles count="1">
    <cellStyle name="Normal" xfId="0" builtinId="0" customBuiltin="1"/>
  </cellStyles>
  <dxfs count="3">
    <dxf>
      <numFmt numFmtId="167" formatCode="_(\$* #,##0.00_);_(\$* \(#,##0.00\);_(\$* &quot;-&quot;??_);_(@_)"/>
    </dxf>
    <dxf>
      <numFmt numFmtId="167" formatCode="_(\$* #,##0.00_);_(\$* \(#,##0.00\);_(\$* &quot;-&quot;??_);_(@_)"/>
    </dxf>
    <dxf>
      <numFmt numFmtId="167" formatCode="_(\$* #,##0.00_);_(\$* \(#,##0.00\);_(\$* &quot;-&quot;??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5">
      <sharedItems containsSemiMixedTypes="0" containsString="0" containsNumber="1" minValue="0" maxValue="2281.5"/>
    </cacheField>
    <cacheField name="Qtr 2" numFmtId="165">
      <sharedItems containsSemiMixedTypes="0" containsString="0" containsNumber="1" minValue="0" maxValue="3159"/>
    </cacheField>
    <cacheField name="Qtr 3" numFmtId="165">
      <sharedItems containsSemiMixedTypes="0" containsString="0" containsNumber="1" minValue="0" maxValue="3900"/>
    </cacheField>
    <cacheField name="Qtr 4" numFmtId="165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339"/>
  <sheetViews>
    <sheetView tabSelected="1" topLeftCell="A3" workbookViewId="0">
      <selection activeCell="J3" sqref="J3"/>
    </sheetView>
  </sheetViews>
  <sheetFormatPr defaultColWidth="9.109375" defaultRowHeight="14.4" x14ac:dyDescent="0.3"/>
  <cols>
    <col min="1" max="1" width="35.6640625" style="5" customWidth="1"/>
    <col min="2" max="6" width="12.6640625" customWidth="1"/>
    <col min="8" max="8" width="32.88671875" customWidth="1"/>
    <col min="9" max="9" width="18.21875" customWidth="1"/>
    <col min="17" max="17" width="10.109375" bestFit="1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/>
      <c r="H1" s="8" t="str">
        <f>_xlfn.CONCAT(A1:B1)</f>
        <v>ProductCustomer</v>
      </c>
      <c r="I1" s="9" t="str">
        <f>_xlfn.CONCAT(C1," ",D1," ",E1," ",F1)</f>
        <v>Qtr 1 Qtr 2 Qtr 3 Qtr 4</v>
      </c>
      <c r="J1" s="8" t="s">
        <v>117</v>
      </c>
      <c r="K1" s="8"/>
      <c r="L1" s="9" t="s">
        <v>116</v>
      </c>
      <c r="M1" s="9" t="s">
        <v>0</v>
      </c>
    </row>
    <row r="2" spans="1:13" x14ac:dyDescent="0.3">
      <c r="A2" s="5" t="s">
        <v>6</v>
      </c>
      <c r="B2" t="s">
        <v>7</v>
      </c>
      <c r="C2" s="1">
        <v>0</v>
      </c>
      <c r="D2" s="1">
        <v>702</v>
      </c>
      <c r="E2" s="1">
        <v>0</v>
      </c>
      <c r="F2" s="1">
        <v>0</v>
      </c>
      <c r="H2" t="str">
        <f t="shared" ref="H2:H65" si="0">_xlfn.CONCAT(A2:B2)</f>
        <v>Alice MuttonANTON</v>
      </c>
      <c r="I2" s="10">
        <f>SUM(C2:D2:E2:F2)</f>
        <v>702</v>
      </c>
      <c r="J2" s="10">
        <f>AVERAGE(C2:D2:E2:F2)+FALSE()</f>
        <v>175.5</v>
      </c>
      <c r="K2">
        <f>C2*D2*E2*F2</f>
        <v>0</v>
      </c>
      <c r="L2" s="1">
        <f>MAX(C2:C278)</f>
        <v>2281.5</v>
      </c>
    </row>
    <row r="3" spans="1:13" x14ac:dyDescent="0.3">
      <c r="A3" s="5" t="s">
        <v>6</v>
      </c>
      <c r="B3" t="s">
        <v>8</v>
      </c>
      <c r="C3" s="1">
        <v>312</v>
      </c>
      <c r="D3" s="1">
        <v>0</v>
      </c>
      <c r="E3" s="1">
        <v>0</v>
      </c>
      <c r="F3" s="1">
        <v>0</v>
      </c>
      <c r="H3" t="str">
        <f t="shared" si="0"/>
        <v>Alice MuttonBERGS</v>
      </c>
      <c r="I3" t="str">
        <f>_xlfn.CONCAT(C3:D3:E3:F3)</f>
        <v>312000</v>
      </c>
      <c r="K3">
        <f t="shared" ref="K3:K66" si="1">C3*D3*E3*F3</f>
        <v>0</v>
      </c>
      <c r="L3" s="1">
        <f>MIN(C2:C278)</f>
        <v>0</v>
      </c>
    </row>
    <row r="4" spans="1:13" x14ac:dyDescent="0.3">
      <c r="A4" s="5" t="s">
        <v>6</v>
      </c>
      <c r="B4" t="s">
        <v>9</v>
      </c>
      <c r="C4" s="1">
        <v>0</v>
      </c>
      <c r="D4" s="1">
        <v>0</v>
      </c>
      <c r="E4" s="1">
        <v>0</v>
      </c>
      <c r="F4" s="1">
        <v>1170</v>
      </c>
      <c r="H4" t="str">
        <f t="shared" si="0"/>
        <v>Alice MuttonBOLID</v>
      </c>
      <c r="I4" t="str">
        <f>_xlfn.CONCAT(C4:D4:E4:F4)</f>
        <v>0001170</v>
      </c>
      <c r="J4">
        <f>AVERAGE(C4:D4:E4:F4)</f>
        <v>292.5</v>
      </c>
      <c r="K4">
        <f t="shared" si="1"/>
        <v>0</v>
      </c>
      <c r="L4" s="1">
        <f>AVERAGE(C2:C278)</f>
        <v>88.855270758122757</v>
      </c>
    </row>
    <row r="5" spans="1:13" x14ac:dyDescent="0.3">
      <c r="A5" s="5" t="s">
        <v>6</v>
      </c>
      <c r="B5" t="s">
        <v>10</v>
      </c>
      <c r="C5" s="1">
        <v>1170</v>
      </c>
      <c r="D5" s="1">
        <v>0</v>
      </c>
      <c r="E5" s="1">
        <v>0</v>
      </c>
      <c r="F5" s="1">
        <v>0</v>
      </c>
      <c r="H5" t="str">
        <f t="shared" si="0"/>
        <v>Alice MuttonBOTTM</v>
      </c>
      <c r="I5" t="str">
        <f>_xlfn.CONCAT(C5:D5:E5:F5)</f>
        <v>1170000</v>
      </c>
      <c r="J5">
        <f>AVERAGE(C5:D5:E5:F5)</f>
        <v>292.5</v>
      </c>
      <c r="K5">
        <f t="shared" si="1"/>
        <v>0</v>
      </c>
      <c r="L5">
        <f>COUNT(C2,D2,E2,F2)</f>
        <v>4</v>
      </c>
    </row>
    <row r="6" spans="1:13" x14ac:dyDescent="0.3">
      <c r="A6" s="5" t="s">
        <v>6</v>
      </c>
      <c r="B6" t="s">
        <v>11</v>
      </c>
      <c r="C6" s="1">
        <v>1123.2</v>
      </c>
      <c r="D6" s="1">
        <v>0</v>
      </c>
      <c r="E6" s="1">
        <v>0</v>
      </c>
      <c r="F6" s="1">
        <v>2607.15</v>
      </c>
      <c r="H6" t="str">
        <f t="shared" si="0"/>
        <v>Alice MuttonERNSH</v>
      </c>
      <c r="I6" t="str">
        <f>_xlfn.CONCAT(C6:D6:E6:F6)</f>
        <v>1123.2002607.15</v>
      </c>
      <c r="J6">
        <f>AVERAGE(C6:D6:E6:F6)</f>
        <v>932.58750000000009</v>
      </c>
      <c r="K6">
        <f t="shared" si="1"/>
        <v>0</v>
      </c>
    </row>
    <row r="7" spans="1:13" x14ac:dyDescent="0.3">
      <c r="A7" s="5" t="s">
        <v>6</v>
      </c>
      <c r="B7" t="s">
        <v>12</v>
      </c>
      <c r="C7" s="1">
        <v>0</v>
      </c>
      <c r="D7" s="1">
        <v>280.8</v>
      </c>
      <c r="E7" s="1">
        <v>0</v>
      </c>
      <c r="F7" s="1">
        <v>0</v>
      </c>
      <c r="H7" t="str">
        <f t="shared" si="0"/>
        <v>Alice MuttonGODOS</v>
      </c>
      <c r="I7" t="str">
        <f>_xlfn.CONCAT(C7:D7:E7:F7)</f>
        <v>0280.800</v>
      </c>
      <c r="J7">
        <f>AVERAGE(C7:D7:E7:F7)</f>
        <v>70.2</v>
      </c>
      <c r="K7">
        <f t="shared" si="1"/>
        <v>0</v>
      </c>
    </row>
    <row r="8" spans="1:13" x14ac:dyDescent="0.3">
      <c r="A8" s="5" t="s">
        <v>6</v>
      </c>
      <c r="B8" t="s">
        <v>13</v>
      </c>
      <c r="C8" s="1">
        <v>62.4</v>
      </c>
      <c r="D8" s="1">
        <v>0</v>
      </c>
      <c r="E8" s="1">
        <v>0</v>
      </c>
      <c r="F8" s="1">
        <v>0</v>
      </c>
      <c r="H8" t="str">
        <f t="shared" si="0"/>
        <v>Alice MuttonHUNGC</v>
      </c>
      <c r="I8" t="str">
        <f>_xlfn.CONCAT(C8:D8:E8:F8)</f>
        <v>62.4000</v>
      </c>
      <c r="J8">
        <f>AVERAGE(C8:D8:E8:F8)</f>
        <v>15.6</v>
      </c>
      <c r="K8">
        <f t="shared" si="1"/>
        <v>0</v>
      </c>
    </row>
    <row r="9" spans="1:13" x14ac:dyDescent="0.3">
      <c r="A9" s="5" t="s">
        <v>6</v>
      </c>
      <c r="B9" t="s">
        <v>14</v>
      </c>
      <c r="C9" s="1">
        <v>0</v>
      </c>
      <c r="D9" s="1">
        <v>1560</v>
      </c>
      <c r="E9" s="1">
        <v>936</v>
      </c>
      <c r="F9" s="1">
        <v>0</v>
      </c>
      <c r="H9" t="str">
        <f t="shared" si="0"/>
        <v>Alice MuttonPICCO</v>
      </c>
      <c r="I9" t="str">
        <f>_xlfn.CONCAT(C9:D9:E9:F9)</f>
        <v>015609360</v>
      </c>
      <c r="J9">
        <f>AVERAGE(C9:D9:E9:F9)</f>
        <v>624</v>
      </c>
      <c r="K9">
        <f t="shared" si="1"/>
        <v>0</v>
      </c>
    </row>
    <row r="10" spans="1:13" x14ac:dyDescent="0.3">
      <c r="A10" s="5" t="s">
        <v>6</v>
      </c>
      <c r="B10" t="s">
        <v>15</v>
      </c>
      <c r="C10" s="1">
        <v>0</v>
      </c>
      <c r="D10" s="1">
        <v>592.79999999999995</v>
      </c>
      <c r="E10" s="1">
        <v>0</v>
      </c>
      <c r="F10" s="1">
        <v>0</v>
      </c>
      <c r="H10" t="str">
        <f t="shared" si="0"/>
        <v>Alice MuttonRATTC</v>
      </c>
      <c r="I10" t="str">
        <f>_xlfn.CONCAT(C10:D10:E10:F10)</f>
        <v>0592.800</v>
      </c>
      <c r="J10">
        <f>AVERAGE(C10:D10:E10:F10)</f>
        <v>148.19999999999999</v>
      </c>
      <c r="K10">
        <f t="shared" si="1"/>
        <v>0</v>
      </c>
    </row>
    <row r="11" spans="1:13" x14ac:dyDescent="0.3">
      <c r="A11" s="5" t="s">
        <v>6</v>
      </c>
      <c r="B11" t="s">
        <v>16</v>
      </c>
      <c r="C11" s="1">
        <v>0</v>
      </c>
      <c r="D11" s="1">
        <v>0</v>
      </c>
      <c r="E11" s="1">
        <v>0</v>
      </c>
      <c r="F11" s="1">
        <v>741</v>
      </c>
      <c r="H11" t="str">
        <f t="shared" si="0"/>
        <v>Alice MuttonREGGC</v>
      </c>
      <c r="I11" t="str">
        <f>_xlfn.CONCAT(C11:D11:E11:F11)</f>
        <v>000741</v>
      </c>
      <c r="J11">
        <f>AVERAGE(C11:D11:E11:F11)</f>
        <v>185.25</v>
      </c>
      <c r="K11">
        <f t="shared" si="1"/>
        <v>0</v>
      </c>
    </row>
    <row r="12" spans="1:13" x14ac:dyDescent="0.3">
      <c r="A12" s="5" t="s">
        <v>6</v>
      </c>
      <c r="B12" t="s">
        <v>17</v>
      </c>
      <c r="C12" s="1">
        <v>0</v>
      </c>
      <c r="D12" s="1">
        <v>0</v>
      </c>
      <c r="E12" s="1">
        <v>3900</v>
      </c>
      <c r="F12" s="1">
        <v>789.75</v>
      </c>
      <c r="H12" t="str">
        <f t="shared" si="0"/>
        <v>Alice MuttonSAVEA</v>
      </c>
      <c r="I12" t="str">
        <f>_xlfn.CONCAT(C12:D12:E12:F12)</f>
        <v>003900789.75</v>
      </c>
      <c r="J12">
        <f>AVERAGE(C12:D12:E12:F12)</f>
        <v>1172.4375</v>
      </c>
      <c r="K12">
        <f t="shared" si="1"/>
        <v>0</v>
      </c>
    </row>
    <row r="13" spans="1:13" x14ac:dyDescent="0.3">
      <c r="A13" s="5" t="s">
        <v>6</v>
      </c>
      <c r="B13" t="s">
        <v>18</v>
      </c>
      <c r="C13" s="1">
        <v>0</v>
      </c>
      <c r="D13" s="1">
        <v>877.5</v>
      </c>
      <c r="E13" s="1">
        <v>0</v>
      </c>
      <c r="F13" s="1">
        <v>0</v>
      </c>
      <c r="H13" t="str">
        <f t="shared" si="0"/>
        <v>Alice MuttonSEVES</v>
      </c>
      <c r="I13" t="str">
        <f>_xlfn.CONCAT(C13:D13:E13:F13)</f>
        <v>0877.500</v>
      </c>
      <c r="J13">
        <f>AVERAGE(C13:D13:E13:F13)</f>
        <v>219.375</v>
      </c>
      <c r="K13">
        <f t="shared" si="1"/>
        <v>0</v>
      </c>
    </row>
    <row r="14" spans="1:13" x14ac:dyDescent="0.3">
      <c r="A14" s="5" t="s">
        <v>6</v>
      </c>
      <c r="B14" t="s">
        <v>19</v>
      </c>
      <c r="C14" s="1">
        <v>0</v>
      </c>
      <c r="D14" s="1">
        <v>0</v>
      </c>
      <c r="E14" s="1">
        <v>0</v>
      </c>
      <c r="F14" s="1">
        <v>780</v>
      </c>
      <c r="H14" t="str">
        <f t="shared" si="0"/>
        <v>Alice MuttonWHITC</v>
      </c>
      <c r="I14" t="str">
        <f>_xlfn.CONCAT(C14:D14:E14:F14)</f>
        <v>000780</v>
      </c>
      <c r="J14">
        <f>AVERAGE(C14:D14:E14:F14)</f>
        <v>195</v>
      </c>
      <c r="K14">
        <f t="shared" si="1"/>
        <v>0</v>
      </c>
    </row>
    <row r="15" spans="1:13" x14ac:dyDescent="0.3">
      <c r="A15" s="5" t="s">
        <v>20</v>
      </c>
      <c r="B15" t="s">
        <v>21</v>
      </c>
      <c r="C15" s="1">
        <v>0</v>
      </c>
      <c r="D15" s="1">
        <v>0</v>
      </c>
      <c r="E15" s="1">
        <v>0</v>
      </c>
      <c r="F15" s="1">
        <v>60</v>
      </c>
      <c r="H15" t="str">
        <f t="shared" si="0"/>
        <v>Aniseed SyrupALFKI</v>
      </c>
      <c r="I15" t="str">
        <f>_xlfn.CONCAT(C15:D15:E15:F15)</f>
        <v>00060</v>
      </c>
      <c r="J15">
        <f>AVERAGE(C15:D15:E15:F15)</f>
        <v>15</v>
      </c>
      <c r="K15">
        <f t="shared" si="1"/>
        <v>0</v>
      </c>
    </row>
    <row r="16" spans="1:13" x14ac:dyDescent="0.3">
      <c r="A16" s="5" t="s">
        <v>20</v>
      </c>
      <c r="B16" t="s">
        <v>10</v>
      </c>
      <c r="C16" s="1">
        <v>0</v>
      </c>
      <c r="D16" s="1">
        <v>0</v>
      </c>
      <c r="E16" s="1">
        <v>0</v>
      </c>
      <c r="F16" s="1">
        <v>200</v>
      </c>
      <c r="H16" t="str">
        <f t="shared" si="0"/>
        <v>Aniseed SyrupBOTTM</v>
      </c>
      <c r="I16" t="str">
        <f>_xlfn.CONCAT(C16:D16:E16:F16)</f>
        <v>000200</v>
      </c>
      <c r="J16">
        <f>AVERAGE(C16:D16:E16:F16)</f>
        <v>50</v>
      </c>
      <c r="K16">
        <f t="shared" si="1"/>
        <v>0</v>
      </c>
    </row>
    <row r="17" spans="1:11" x14ac:dyDescent="0.3">
      <c r="A17" s="5" t="s">
        <v>20</v>
      </c>
      <c r="B17" t="s">
        <v>11</v>
      </c>
      <c r="C17" s="1">
        <v>0</v>
      </c>
      <c r="D17" s="1">
        <v>0</v>
      </c>
      <c r="E17" s="1">
        <v>0</v>
      </c>
      <c r="F17" s="1">
        <v>180</v>
      </c>
      <c r="H17" t="str">
        <f t="shared" si="0"/>
        <v>Aniseed SyrupERNSH</v>
      </c>
      <c r="I17" t="str">
        <f>_xlfn.CONCAT(C17:D17:E17:F17)</f>
        <v>000180</v>
      </c>
      <c r="J17">
        <f>AVERAGE(C17:D17:E17:F17)</f>
        <v>45</v>
      </c>
      <c r="K17">
        <f t="shared" si="1"/>
        <v>0</v>
      </c>
    </row>
    <row r="18" spans="1:11" x14ac:dyDescent="0.3">
      <c r="A18" s="5" t="s">
        <v>20</v>
      </c>
      <c r="B18" t="s">
        <v>22</v>
      </c>
      <c r="C18" s="1">
        <v>544</v>
      </c>
      <c r="D18" s="1">
        <v>0</v>
      </c>
      <c r="E18" s="1">
        <v>0</v>
      </c>
      <c r="F18" s="1">
        <v>0</v>
      </c>
      <c r="H18" t="str">
        <f t="shared" si="0"/>
        <v>Aniseed SyrupLINOD</v>
      </c>
      <c r="I18" t="str">
        <f>_xlfn.CONCAT(C18:D18:E18:F18)</f>
        <v>544000</v>
      </c>
      <c r="J18">
        <f>AVERAGE(C18:D18:E18:F18)</f>
        <v>136</v>
      </c>
      <c r="K18">
        <f t="shared" si="1"/>
        <v>0</v>
      </c>
    </row>
    <row r="19" spans="1:11" x14ac:dyDescent="0.3">
      <c r="A19" s="5" t="s">
        <v>20</v>
      </c>
      <c r="B19" t="s">
        <v>23</v>
      </c>
      <c r="C19" s="1">
        <v>0</v>
      </c>
      <c r="D19" s="1">
        <v>600</v>
      </c>
      <c r="E19" s="1">
        <v>0</v>
      </c>
      <c r="F19" s="1">
        <v>0</v>
      </c>
      <c r="H19" t="str">
        <f t="shared" si="0"/>
        <v>Aniseed SyrupQUICK</v>
      </c>
      <c r="I19" t="str">
        <f>_xlfn.CONCAT(C19:D19:E19:F19)</f>
        <v>060000</v>
      </c>
      <c r="J19">
        <f>AVERAGE(C19:D19:E19:F19)</f>
        <v>150</v>
      </c>
      <c r="K19">
        <f t="shared" si="1"/>
        <v>0</v>
      </c>
    </row>
    <row r="20" spans="1:11" x14ac:dyDescent="0.3">
      <c r="A20" s="5" t="s">
        <v>20</v>
      </c>
      <c r="B20" t="s">
        <v>24</v>
      </c>
      <c r="C20" s="1">
        <v>0</v>
      </c>
      <c r="D20" s="1">
        <v>0</v>
      </c>
      <c r="E20" s="1">
        <v>140</v>
      </c>
      <c r="F20" s="1">
        <v>0</v>
      </c>
      <c r="H20" t="str">
        <f t="shared" si="0"/>
        <v>Aniseed SyrupVAFFE</v>
      </c>
      <c r="I20" t="str">
        <f>_xlfn.CONCAT(C20:D20:E20:F20)</f>
        <v>001400</v>
      </c>
      <c r="J20">
        <f>AVERAGE(C20:D20:E20:F20)</f>
        <v>35</v>
      </c>
      <c r="K20">
        <f t="shared" si="1"/>
        <v>0</v>
      </c>
    </row>
    <row r="21" spans="1:11" x14ac:dyDescent="0.3">
      <c r="A21" s="5" t="s">
        <v>25</v>
      </c>
      <c r="B21" t="s">
        <v>7</v>
      </c>
      <c r="C21" s="1">
        <v>0</v>
      </c>
      <c r="D21" s="1">
        <v>165.6</v>
      </c>
      <c r="E21" s="1">
        <v>0</v>
      </c>
      <c r="F21" s="1">
        <v>0</v>
      </c>
      <c r="H21" t="str">
        <f t="shared" si="0"/>
        <v>Boston Crab MeatANTON</v>
      </c>
      <c r="I21" t="str">
        <f>_xlfn.CONCAT(C21:D21:E21:F21)</f>
        <v>0165.600</v>
      </c>
      <c r="J21">
        <f>AVERAGE(C21:D21:E21:F21)</f>
        <v>41.4</v>
      </c>
      <c r="K21">
        <f t="shared" si="1"/>
        <v>0</v>
      </c>
    </row>
    <row r="22" spans="1:11" x14ac:dyDescent="0.3">
      <c r="A22" s="5" t="s">
        <v>25</v>
      </c>
      <c r="B22" t="s">
        <v>8</v>
      </c>
      <c r="C22" s="1">
        <v>0</v>
      </c>
      <c r="D22" s="1">
        <v>920</v>
      </c>
      <c r="E22" s="1">
        <v>0</v>
      </c>
      <c r="F22" s="1">
        <v>0</v>
      </c>
      <c r="H22" t="str">
        <f t="shared" si="0"/>
        <v>Boston Crab MeatBERGS</v>
      </c>
      <c r="I22" t="str">
        <f>_xlfn.CONCAT(C22:D22:E22:F22)</f>
        <v>092000</v>
      </c>
      <c r="J22">
        <f>AVERAGE(C22:D22:E22:F22)</f>
        <v>230</v>
      </c>
      <c r="K22">
        <f t="shared" si="1"/>
        <v>0</v>
      </c>
    </row>
    <row r="23" spans="1:11" x14ac:dyDescent="0.3">
      <c r="A23" s="5" t="s">
        <v>25</v>
      </c>
      <c r="B23" t="s">
        <v>26</v>
      </c>
      <c r="C23" s="1">
        <v>0</v>
      </c>
      <c r="D23" s="1">
        <v>248.4</v>
      </c>
      <c r="E23" s="1">
        <v>524.4</v>
      </c>
      <c r="F23" s="1">
        <v>0</v>
      </c>
      <c r="H23" t="str">
        <f t="shared" si="0"/>
        <v>Boston Crab MeatBONAP</v>
      </c>
      <c r="I23" t="str">
        <f>_xlfn.CONCAT(C23:D23:E23:F23)</f>
        <v>0248.4524.40</v>
      </c>
      <c r="J23">
        <f>AVERAGE(C23:D23:E23:F23)</f>
        <v>193.2</v>
      </c>
      <c r="K23">
        <f t="shared" si="1"/>
        <v>0</v>
      </c>
    </row>
    <row r="24" spans="1:11" x14ac:dyDescent="0.3">
      <c r="A24" s="5" t="s">
        <v>25</v>
      </c>
      <c r="B24" t="s">
        <v>10</v>
      </c>
      <c r="C24" s="1">
        <v>551.25</v>
      </c>
      <c r="D24" s="1">
        <v>0</v>
      </c>
      <c r="E24" s="1">
        <v>0</v>
      </c>
      <c r="F24" s="1">
        <v>0</v>
      </c>
      <c r="H24" t="str">
        <f t="shared" si="0"/>
        <v>Boston Crab MeatBOTTM</v>
      </c>
      <c r="I24" t="str">
        <f>_xlfn.CONCAT(C24:D24:E24:F24)</f>
        <v>551.25000</v>
      </c>
      <c r="J24">
        <f>AVERAGE(C24:D24:E24:F24)</f>
        <v>137.8125</v>
      </c>
      <c r="K24">
        <f t="shared" si="1"/>
        <v>0</v>
      </c>
    </row>
    <row r="25" spans="1:11" x14ac:dyDescent="0.3">
      <c r="A25" s="5" t="s">
        <v>25</v>
      </c>
      <c r="B25" t="s">
        <v>27</v>
      </c>
      <c r="C25" s="1">
        <v>147</v>
      </c>
      <c r="D25" s="1">
        <v>0</v>
      </c>
      <c r="E25" s="1">
        <v>0</v>
      </c>
      <c r="F25" s="1">
        <v>0</v>
      </c>
      <c r="H25" t="str">
        <f t="shared" si="0"/>
        <v>Boston Crab MeatBSBEV</v>
      </c>
      <c r="I25" t="str">
        <f>_xlfn.CONCAT(C25:D25:E25:F25)</f>
        <v>147000</v>
      </c>
      <c r="J25">
        <f>AVERAGE(C25:D25:E25:F25)</f>
        <v>36.75</v>
      </c>
      <c r="K25">
        <f t="shared" si="1"/>
        <v>0</v>
      </c>
    </row>
    <row r="26" spans="1:11" x14ac:dyDescent="0.3">
      <c r="A26" s="5" t="s">
        <v>25</v>
      </c>
      <c r="B26" t="s">
        <v>28</v>
      </c>
      <c r="C26" s="1">
        <v>0</v>
      </c>
      <c r="D26" s="1">
        <v>0</v>
      </c>
      <c r="E26" s="1">
        <v>0</v>
      </c>
      <c r="F26" s="1">
        <v>18.399999999999999</v>
      </c>
      <c r="H26" t="str">
        <f t="shared" si="0"/>
        <v>Boston Crab MeatFRANS</v>
      </c>
      <c r="I26" t="str">
        <f>_xlfn.CONCAT(C26:D26:E26:F26)</f>
        <v>00018.4</v>
      </c>
      <c r="J26">
        <f>AVERAGE(C26:D26:E26:F26)</f>
        <v>4.5999999999999996</v>
      </c>
      <c r="K26">
        <f t="shared" si="1"/>
        <v>0</v>
      </c>
    </row>
    <row r="27" spans="1:11" x14ac:dyDescent="0.3">
      <c r="A27" s="5" t="s">
        <v>25</v>
      </c>
      <c r="B27" t="s">
        <v>29</v>
      </c>
      <c r="C27" s="1">
        <v>0</v>
      </c>
      <c r="D27" s="1">
        <v>92</v>
      </c>
      <c r="E27" s="1">
        <v>1104</v>
      </c>
      <c r="F27" s="1">
        <v>0</v>
      </c>
      <c r="H27" t="str">
        <f t="shared" si="0"/>
        <v>Boston Crab MeatHILAA</v>
      </c>
      <c r="I27" t="str">
        <f>_xlfn.CONCAT(C27:D27:E27:F27)</f>
        <v>09211040</v>
      </c>
      <c r="J27">
        <f>AVERAGE(C27:D27:E27:F27)</f>
        <v>299</v>
      </c>
      <c r="K27">
        <f t="shared" si="1"/>
        <v>0</v>
      </c>
    </row>
    <row r="28" spans="1:11" x14ac:dyDescent="0.3">
      <c r="A28" s="5" t="s">
        <v>25</v>
      </c>
      <c r="B28" t="s">
        <v>30</v>
      </c>
      <c r="C28" s="1">
        <v>147</v>
      </c>
      <c r="D28" s="1">
        <v>0</v>
      </c>
      <c r="E28" s="1">
        <v>0</v>
      </c>
      <c r="F28" s="1">
        <v>0</v>
      </c>
      <c r="H28" t="str">
        <f t="shared" si="0"/>
        <v>Boston Crab MeatLAZYK</v>
      </c>
      <c r="I28" t="str">
        <f>_xlfn.CONCAT(C28:D28:E28:F28)</f>
        <v>147000</v>
      </c>
      <c r="J28">
        <f>AVERAGE(C28:D28:E28:F28)</f>
        <v>36.75</v>
      </c>
      <c r="K28">
        <f t="shared" si="1"/>
        <v>0</v>
      </c>
    </row>
    <row r="29" spans="1:11" x14ac:dyDescent="0.3">
      <c r="A29" s="5" t="s">
        <v>25</v>
      </c>
      <c r="B29" t="s">
        <v>31</v>
      </c>
      <c r="C29" s="1">
        <v>0</v>
      </c>
      <c r="D29" s="1">
        <v>515.20000000000005</v>
      </c>
      <c r="E29" s="1">
        <v>0</v>
      </c>
      <c r="F29" s="1">
        <v>0</v>
      </c>
      <c r="H29" t="str">
        <f t="shared" si="0"/>
        <v>Boston Crab MeatLEHMS</v>
      </c>
      <c r="I29" t="str">
        <f>_xlfn.CONCAT(C29:D29:E29:F29)</f>
        <v>0515.200</v>
      </c>
      <c r="J29">
        <f>AVERAGE(C29:D29:E29:F29)</f>
        <v>128.80000000000001</v>
      </c>
      <c r="K29">
        <f t="shared" si="1"/>
        <v>0</v>
      </c>
    </row>
    <row r="30" spans="1:11" x14ac:dyDescent="0.3">
      <c r="A30" s="5" t="s">
        <v>25</v>
      </c>
      <c r="B30" t="s">
        <v>32</v>
      </c>
      <c r="C30" s="1">
        <v>0</v>
      </c>
      <c r="D30" s="1">
        <v>0</v>
      </c>
      <c r="E30" s="1">
        <v>0</v>
      </c>
      <c r="F30" s="1">
        <v>55.2</v>
      </c>
      <c r="H30" t="str">
        <f t="shared" si="0"/>
        <v>Boston Crab MeatMAGAA</v>
      </c>
      <c r="I30" t="str">
        <f>_xlfn.CONCAT(C30:D30:E30:F30)</f>
        <v>00055.2</v>
      </c>
      <c r="J30">
        <f>AVERAGE(C30:D30:E30:F30)</f>
        <v>13.8</v>
      </c>
      <c r="K30">
        <f t="shared" si="1"/>
        <v>0</v>
      </c>
    </row>
    <row r="31" spans="1:11" x14ac:dyDescent="0.3">
      <c r="A31" s="5" t="s">
        <v>25</v>
      </c>
      <c r="B31" t="s">
        <v>33</v>
      </c>
      <c r="C31" s="1">
        <v>0</v>
      </c>
      <c r="D31" s="1">
        <v>0</v>
      </c>
      <c r="E31" s="1">
        <v>368</v>
      </c>
      <c r="F31" s="1">
        <v>0</v>
      </c>
      <c r="H31" t="str">
        <f t="shared" si="0"/>
        <v>Boston Crab MeatOTTIK</v>
      </c>
      <c r="I31" t="str">
        <f>_xlfn.CONCAT(C31:D31:E31:F31)</f>
        <v>003680</v>
      </c>
      <c r="J31">
        <f>AVERAGE(C31:D31:E31:F31)</f>
        <v>92</v>
      </c>
      <c r="K31">
        <f t="shared" si="1"/>
        <v>0</v>
      </c>
    </row>
    <row r="32" spans="1:11" x14ac:dyDescent="0.3">
      <c r="A32" s="5" t="s">
        <v>25</v>
      </c>
      <c r="B32" t="s">
        <v>34</v>
      </c>
      <c r="C32" s="1">
        <v>308.7</v>
      </c>
      <c r="D32" s="1">
        <v>0</v>
      </c>
      <c r="E32" s="1">
        <v>0</v>
      </c>
      <c r="F32" s="1">
        <v>0</v>
      </c>
      <c r="H32" t="str">
        <f t="shared" si="0"/>
        <v>Boston Crab MeatPERIC</v>
      </c>
      <c r="I32" t="str">
        <f>_xlfn.CONCAT(C32:D32:E32:F32)</f>
        <v>308.7000</v>
      </c>
      <c r="J32">
        <f>AVERAGE(C32:D32:E32:F32)</f>
        <v>77.174999999999997</v>
      </c>
      <c r="K32">
        <f t="shared" si="1"/>
        <v>0</v>
      </c>
    </row>
    <row r="33" spans="1:11" x14ac:dyDescent="0.3">
      <c r="A33" s="5" t="s">
        <v>25</v>
      </c>
      <c r="B33" t="s">
        <v>35</v>
      </c>
      <c r="C33" s="1">
        <v>26.46</v>
      </c>
      <c r="D33" s="1">
        <v>0</v>
      </c>
      <c r="E33" s="1">
        <v>419.52</v>
      </c>
      <c r="F33" s="1">
        <v>110.4</v>
      </c>
      <c r="H33" t="str">
        <f t="shared" si="0"/>
        <v>Boston Crab MeatQUEEN</v>
      </c>
      <c r="I33" t="str">
        <f>_xlfn.CONCAT(C33:D33:E33:F33)</f>
        <v>26.460419.52110.4</v>
      </c>
      <c r="J33">
        <f>AVERAGE(C33:D33:E33:F33)</f>
        <v>139.095</v>
      </c>
      <c r="K33">
        <f t="shared" si="1"/>
        <v>0</v>
      </c>
    </row>
    <row r="34" spans="1:11" x14ac:dyDescent="0.3">
      <c r="A34" s="5" t="s">
        <v>25</v>
      </c>
      <c r="B34" t="s">
        <v>23</v>
      </c>
      <c r="C34" s="1">
        <v>0</v>
      </c>
      <c r="D34" s="1">
        <v>0</v>
      </c>
      <c r="E34" s="1">
        <v>1223.5999999999999</v>
      </c>
      <c r="F34" s="1">
        <v>0</v>
      </c>
      <c r="H34" t="str">
        <f t="shared" si="0"/>
        <v>Boston Crab MeatQUICK</v>
      </c>
      <c r="I34" t="str">
        <f>_xlfn.CONCAT(C34:D34:E34:F34)</f>
        <v>001223.60</v>
      </c>
      <c r="J34">
        <f>AVERAGE(C34:D34:E34:F34)</f>
        <v>305.89999999999998</v>
      </c>
      <c r="K34">
        <f t="shared" si="1"/>
        <v>0</v>
      </c>
    </row>
    <row r="35" spans="1:11" x14ac:dyDescent="0.3">
      <c r="A35" s="5" t="s">
        <v>25</v>
      </c>
      <c r="B35" t="s">
        <v>36</v>
      </c>
      <c r="C35" s="1">
        <v>294</v>
      </c>
      <c r="D35" s="1">
        <v>0</v>
      </c>
      <c r="E35" s="1">
        <v>0</v>
      </c>
      <c r="F35" s="1">
        <v>0</v>
      </c>
      <c r="H35" t="str">
        <f t="shared" si="0"/>
        <v>Boston Crab MeatRANCH</v>
      </c>
      <c r="I35" t="str">
        <f>_xlfn.CONCAT(C35:D35:E35:F35)</f>
        <v>294000</v>
      </c>
      <c r="J35">
        <f>AVERAGE(C35:D35:E35:F35)</f>
        <v>73.5</v>
      </c>
      <c r="K35">
        <f t="shared" si="1"/>
        <v>0</v>
      </c>
    </row>
    <row r="36" spans="1:11" x14ac:dyDescent="0.3">
      <c r="A36" s="5" t="s">
        <v>25</v>
      </c>
      <c r="B36" t="s">
        <v>17</v>
      </c>
      <c r="C36" s="1">
        <v>0</v>
      </c>
      <c r="D36" s="1">
        <v>0</v>
      </c>
      <c r="E36" s="1">
        <v>772.8</v>
      </c>
      <c r="F36" s="1">
        <v>736</v>
      </c>
      <c r="H36" t="str">
        <f t="shared" si="0"/>
        <v>Boston Crab MeatSAVEA</v>
      </c>
      <c r="I36" t="str">
        <f>_xlfn.CONCAT(C36:D36:E36:F36)</f>
        <v>00772.8736</v>
      </c>
      <c r="J36">
        <f>AVERAGE(C36:D36:E36:F36)</f>
        <v>377.2</v>
      </c>
      <c r="K36">
        <f t="shared" si="1"/>
        <v>0</v>
      </c>
    </row>
    <row r="37" spans="1:11" x14ac:dyDescent="0.3">
      <c r="A37" s="5" t="s">
        <v>25</v>
      </c>
      <c r="B37" t="s">
        <v>37</v>
      </c>
      <c r="C37" s="1">
        <v>0</v>
      </c>
      <c r="D37" s="1">
        <v>36.799999999999997</v>
      </c>
      <c r="E37" s="1">
        <v>0</v>
      </c>
      <c r="F37" s="1">
        <v>0</v>
      </c>
      <c r="H37" t="str">
        <f t="shared" si="0"/>
        <v>Boston Crab MeatTRAIH</v>
      </c>
      <c r="I37" t="str">
        <f>_xlfn.CONCAT(C37:D37:E37:F37)</f>
        <v>036.800</v>
      </c>
      <c r="J37">
        <f>AVERAGE(C37:D37:E37:F37)</f>
        <v>9.1999999999999993</v>
      </c>
      <c r="K37">
        <f t="shared" si="1"/>
        <v>0</v>
      </c>
    </row>
    <row r="38" spans="1:11" x14ac:dyDescent="0.3">
      <c r="A38" s="5" t="s">
        <v>25</v>
      </c>
      <c r="B38" t="s">
        <v>24</v>
      </c>
      <c r="C38" s="1">
        <v>294</v>
      </c>
      <c r="D38" s="1">
        <v>0</v>
      </c>
      <c r="E38" s="1">
        <v>0</v>
      </c>
      <c r="F38" s="1">
        <v>736</v>
      </c>
      <c r="H38" t="str">
        <f t="shared" si="0"/>
        <v>Boston Crab MeatVAFFE</v>
      </c>
      <c r="I38" t="str">
        <f>_xlfn.CONCAT(C38:D38:E38:F38)</f>
        <v>29400736</v>
      </c>
      <c r="J38">
        <f>AVERAGE(C38:D38:E38:F38)</f>
        <v>257.5</v>
      </c>
      <c r="K38">
        <f t="shared" si="1"/>
        <v>0</v>
      </c>
    </row>
    <row r="39" spans="1:11" x14ac:dyDescent="0.3">
      <c r="A39" s="5" t="s">
        <v>38</v>
      </c>
      <c r="B39" t="s">
        <v>39</v>
      </c>
      <c r="C39" s="1">
        <v>0</v>
      </c>
      <c r="D39" s="1">
        <v>0</v>
      </c>
      <c r="E39" s="1">
        <v>340</v>
      </c>
      <c r="F39" s="1">
        <v>0</v>
      </c>
      <c r="H39" t="str">
        <f t="shared" si="0"/>
        <v>Camembert PierrotANATR</v>
      </c>
      <c r="I39" t="str">
        <f>_xlfn.CONCAT(C39:D39:E39:F39)</f>
        <v>003400</v>
      </c>
      <c r="J39">
        <f>AVERAGE(C39:D39:E39:F39)</f>
        <v>85</v>
      </c>
      <c r="K39">
        <f t="shared" si="1"/>
        <v>0</v>
      </c>
    </row>
    <row r="40" spans="1:11" x14ac:dyDescent="0.3">
      <c r="A40" s="5" t="s">
        <v>38</v>
      </c>
      <c r="B40" t="s">
        <v>40</v>
      </c>
      <c r="C40" s="1">
        <v>0</v>
      </c>
      <c r="D40" s="1">
        <v>0</v>
      </c>
      <c r="E40" s="1">
        <v>0</v>
      </c>
      <c r="F40" s="1">
        <v>510</v>
      </c>
      <c r="H40" t="str">
        <f t="shared" si="0"/>
        <v>Camembert PierrotAROUT</v>
      </c>
      <c r="I40" t="str">
        <f>_xlfn.CONCAT(C40:D40:E40:F40)</f>
        <v>000510</v>
      </c>
      <c r="J40">
        <f>AVERAGE(C40:D40:E40:F40)</f>
        <v>127.5</v>
      </c>
      <c r="K40">
        <f t="shared" si="1"/>
        <v>0</v>
      </c>
    </row>
    <row r="41" spans="1:11" x14ac:dyDescent="0.3">
      <c r="A41" s="5" t="s">
        <v>38</v>
      </c>
      <c r="B41" t="s">
        <v>8</v>
      </c>
      <c r="C41" s="1">
        <v>0</v>
      </c>
      <c r="D41" s="1">
        <v>0</v>
      </c>
      <c r="E41" s="1">
        <v>680</v>
      </c>
      <c r="F41" s="1">
        <v>0</v>
      </c>
      <c r="H41" t="str">
        <f t="shared" si="0"/>
        <v>Camembert PierrotBERGS</v>
      </c>
      <c r="I41" t="str">
        <f>_xlfn.CONCAT(C41:D41:E41:F41)</f>
        <v>006800</v>
      </c>
      <c r="J41">
        <f>AVERAGE(C41:D41:E41:F41)</f>
        <v>170</v>
      </c>
      <c r="K41">
        <f t="shared" si="1"/>
        <v>0</v>
      </c>
    </row>
    <row r="42" spans="1:11" x14ac:dyDescent="0.3">
      <c r="A42" s="5" t="s">
        <v>38</v>
      </c>
      <c r="B42" t="s">
        <v>10</v>
      </c>
      <c r="C42" s="1">
        <v>0</v>
      </c>
      <c r="D42" s="1">
        <v>0</v>
      </c>
      <c r="E42" s="1">
        <v>0</v>
      </c>
      <c r="F42" s="1">
        <v>1700</v>
      </c>
      <c r="H42" t="str">
        <f t="shared" si="0"/>
        <v>Camembert PierrotBOTTM</v>
      </c>
      <c r="I42" t="str">
        <f>_xlfn.CONCAT(C42:D42:E42:F42)</f>
        <v>0001700</v>
      </c>
      <c r="J42">
        <f>AVERAGE(C42:D42:E42:F42)</f>
        <v>425</v>
      </c>
      <c r="K42">
        <f t="shared" si="1"/>
        <v>0</v>
      </c>
    </row>
    <row r="43" spans="1:11" x14ac:dyDescent="0.3">
      <c r="A43" s="5" t="s">
        <v>38</v>
      </c>
      <c r="B43" t="s">
        <v>41</v>
      </c>
      <c r="C43" s="1">
        <v>0</v>
      </c>
      <c r="D43" s="1">
        <v>323</v>
      </c>
      <c r="E43" s="1">
        <v>0</v>
      </c>
      <c r="F43" s="1">
        <v>0</v>
      </c>
      <c r="H43" t="str">
        <f t="shared" si="0"/>
        <v>Camembert PierrotCHOPS</v>
      </c>
      <c r="I43" t="str">
        <f>_xlfn.CONCAT(C43:D43:E43:F43)</f>
        <v>032300</v>
      </c>
      <c r="J43">
        <f>AVERAGE(C43:D43:E43:F43)</f>
        <v>80.75</v>
      </c>
      <c r="K43">
        <f t="shared" si="1"/>
        <v>0</v>
      </c>
    </row>
    <row r="44" spans="1:11" x14ac:dyDescent="0.3">
      <c r="A44" s="5" t="s">
        <v>38</v>
      </c>
      <c r="B44" t="s">
        <v>42</v>
      </c>
      <c r="C44" s="1">
        <v>0</v>
      </c>
      <c r="D44" s="1">
        <v>346.8</v>
      </c>
      <c r="E44" s="1">
        <v>0</v>
      </c>
      <c r="F44" s="1">
        <v>0</v>
      </c>
      <c r="H44" t="str">
        <f t="shared" si="0"/>
        <v>Camembert PierrotFAMIA</v>
      </c>
      <c r="I44" t="str">
        <f>_xlfn.CONCAT(C44:D44:E44:F44)</f>
        <v>0346.800</v>
      </c>
      <c r="J44">
        <f>AVERAGE(C44:D44:E44:F44)</f>
        <v>86.7</v>
      </c>
      <c r="K44">
        <f t="shared" si="1"/>
        <v>0</v>
      </c>
    </row>
    <row r="45" spans="1:11" x14ac:dyDescent="0.3">
      <c r="A45" s="5" t="s">
        <v>38</v>
      </c>
      <c r="B45" t="s">
        <v>43</v>
      </c>
      <c r="C45" s="1">
        <v>0</v>
      </c>
      <c r="D45" s="1">
        <v>0</v>
      </c>
      <c r="E45" s="1">
        <v>612</v>
      </c>
      <c r="F45" s="1">
        <v>0</v>
      </c>
      <c r="H45" t="str">
        <f t="shared" si="0"/>
        <v>Camembert PierrotFRANK</v>
      </c>
      <c r="I45" t="str">
        <f>_xlfn.CONCAT(C45:D45:E45:F45)</f>
        <v>006120</v>
      </c>
      <c r="J45">
        <f>AVERAGE(C45:D45:E45:F45)</f>
        <v>153</v>
      </c>
      <c r="K45">
        <f t="shared" si="1"/>
        <v>0</v>
      </c>
    </row>
    <row r="46" spans="1:11" x14ac:dyDescent="0.3">
      <c r="A46" s="5" t="s">
        <v>38</v>
      </c>
      <c r="B46" t="s">
        <v>44</v>
      </c>
      <c r="C46" s="1">
        <v>544</v>
      </c>
      <c r="D46" s="1">
        <v>0</v>
      </c>
      <c r="E46" s="1">
        <v>0</v>
      </c>
      <c r="F46" s="1">
        <v>0</v>
      </c>
      <c r="H46" t="str">
        <f t="shared" si="0"/>
        <v>Camembert PierrotFURIB</v>
      </c>
      <c r="I46" t="str">
        <f>_xlfn.CONCAT(C46:D46:E46:F46)</f>
        <v>544000</v>
      </c>
      <c r="J46">
        <f>AVERAGE(C46:D46:E46:F46)</f>
        <v>136</v>
      </c>
      <c r="K46">
        <f t="shared" si="1"/>
        <v>0</v>
      </c>
    </row>
    <row r="47" spans="1:11" x14ac:dyDescent="0.3">
      <c r="A47" s="5" t="s">
        <v>38</v>
      </c>
      <c r="B47" t="s">
        <v>45</v>
      </c>
      <c r="C47" s="1">
        <v>0</v>
      </c>
      <c r="D47" s="1">
        <v>0</v>
      </c>
      <c r="E47" s="1">
        <v>0</v>
      </c>
      <c r="F47" s="1">
        <v>340</v>
      </c>
      <c r="H47" t="str">
        <f t="shared" si="0"/>
        <v>Camembert PierrotGOURL</v>
      </c>
      <c r="I47" t="str">
        <f>_xlfn.CONCAT(C47:D47:E47:F47)</f>
        <v>000340</v>
      </c>
      <c r="J47">
        <f>AVERAGE(C47:D47:E47:F47)</f>
        <v>85</v>
      </c>
      <c r="K47">
        <f t="shared" si="1"/>
        <v>0</v>
      </c>
    </row>
    <row r="48" spans="1:11" x14ac:dyDescent="0.3">
      <c r="A48" s="5" t="s">
        <v>38</v>
      </c>
      <c r="B48" t="s">
        <v>31</v>
      </c>
      <c r="C48" s="1">
        <v>0</v>
      </c>
      <c r="D48" s="1">
        <v>892.5</v>
      </c>
      <c r="E48" s="1">
        <v>0</v>
      </c>
      <c r="F48" s="1">
        <v>0</v>
      </c>
      <c r="H48" t="str">
        <f t="shared" si="0"/>
        <v>Camembert PierrotLEHMS</v>
      </c>
      <c r="I48" t="str">
        <f>_xlfn.CONCAT(C48:D48:E48:F48)</f>
        <v>0892.500</v>
      </c>
      <c r="J48">
        <f>AVERAGE(C48:D48:E48:F48)</f>
        <v>223.125</v>
      </c>
      <c r="K48">
        <f t="shared" si="1"/>
        <v>0</v>
      </c>
    </row>
    <row r="49" spans="1:11" x14ac:dyDescent="0.3">
      <c r="A49" s="5" t="s">
        <v>38</v>
      </c>
      <c r="B49" t="s">
        <v>46</v>
      </c>
      <c r="C49" s="1">
        <v>0</v>
      </c>
      <c r="D49" s="1">
        <v>0</v>
      </c>
      <c r="E49" s="1">
        <v>2261</v>
      </c>
      <c r="F49" s="1">
        <v>0</v>
      </c>
      <c r="H49" t="str">
        <f t="shared" si="0"/>
        <v>Camembert PierrotMEREP</v>
      </c>
      <c r="I49" t="str">
        <f>_xlfn.CONCAT(C49:D49:E49:F49)</f>
        <v>0022610</v>
      </c>
      <c r="J49">
        <f>AVERAGE(C49:D49:E49:F49)</f>
        <v>565.25</v>
      </c>
      <c r="K49">
        <f t="shared" si="1"/>
        <v>0</v>
      </c>
    </row>
    <row r="50" spans="1:11" x14ac:dyDescent="0.3">
      <c r="A50" s="5" t="s">
        <v>38</v>
      </c>
      <c r="B50" t="s">
        <v>33</v>
      </c>
      <c r="C50" s="1">
        <v>0</v>
      </c>
      <c r="D50" s="1">
        <v>0</v>
      </c>
      <c r="E50" s="1">
        <v>1020</v>
      </c>
      <c r="F50" s="1">
        <v>0</v>
      </c>
      <c r="H50" t="str">
        <f t="shared" si="0"/>
        <v>Camembert PierrotOTTIK</v>
      </c>
      <c r="I50" t="str">
        <f>_xlfn.CONCAT(C50:D50:E50:F50)</f>
        <v>0010200</v>
      </c>
      <c r="J50">
        <f>AVERAGE(C50:D50:E50:F50)</f>
        <v>255</v>
      </c>
      <c r="K50">
        <f t="shared" si="1"/>
        <v>0</v>
      </c>
    </row>
    <row r="51" spans="1:11" x14ac:dyDescent="0.3">
      <c r="A51" s="5" t="s">
        <v>38</v>
      </c>
      <c r="B51" t="s">
        <v>35</v>
      </c>
      <c r="C51" s="1">
        <v>0</v>
      </c>
      <c r="D51" s="1">
        <v>0</v>
      </c>
      <c r="E51" s="1">
        <v>0</v>
      </c>
      <c r="F51" s="1">
        <v>510</v>
      </c>
      <c r="H51" t="str">
        <f t="shared" si="0"/>
        <v>Camembert PierrotQUEEN</v>
      </c>
      <c r="I51" t="str">
        <f>_xlfn.CONCAT(C51:D51:E51:F51)</f>
        <v>000510</v>
      </c>
      <c r="J51">
        <f>AVERAGE(C51:D51:E51:F51)</f>
        <v>127.5</v>
      </c>
      <c r="K51">
        <f t="shared" si="1"/>
        <v>0</v>
      </c>
    </row>
    <row r="52" spans="1:11" x14ac:dyDescent="0.3">
      <c r="A52" s="5" t="s">
        <v>38</v>
      </c>
      <c r="B52" t="s">
        <v>23</v>
      </c>
      <c r="C52" s="1">
        <v>0</v>
      </c>
      <c r="D52" s="1">
        <v>2427.6</v>
      </c>
      <c r="E52" s="1">
        <v>1776.5</v>
      </c>
      <c r="F52" s="1">
        <v>0</v>
      </c>
      <c r="H52" t="str">
        <f t="shared" si="0"/>
        <v>Camembert PierrotQUICK</v>
      </c>
      <c r="I52" t="str">
        <f>_xlfn.CONCAT(C52:D52:E52:F52)</f>
        <v>02427.61776.50</v>
      </c>
      <c r="J52">
        <f>AVERAGE(C52:D52:E52:F52)</f>
        <v>1051.0250000000001</v>
      </c>
      <c r="K52">
        <f t="shared" si="1"/>
        <v>0</v>
      </c>
    </row>
    <row r="53" spans="1:11" x14ac:dyDescent="0.3">
      <c r="A53" s="5" t="s">
        <v>38</v>
      </c>
      <c r="B53" t="s">
        <v>47</v>
      </c>
      <c r="C53" s="1">
        <v>1088</v>
      </c>
      <c r="D53" s="1">
        <v>0</v>
      </c>
      <c r="E53" s="1">
        <v>0</v>
      </c>
      <c r="F53" s="1">
        <v>0</v>
      </c>
      <c r="H53" t="str">
        <f t="shared" si="0"/>
        <v>Camembert PierrotRICAR</v>
      </c>
      <c r="I53" t="str">
        <f>_xlfn.CONCAT(C53:D53:E53:F53)</f>
        <v>1088000</v>
      </c>
      <c r="J53">
        <f>AVERAGE(C53:D53:E53:F53)</f>
        <v>272</v>
      </c>
      <c r="K53">
        <f t="shared" si="1"/>
        <v>0</v>
      </c>
    </row>
    <row r="54" spans="1:11" x14ac:dyDescent="0.3">
      <c r="A54" s="5" t="s">
        <v>38</v>
      </c>
      <c r="B54" t="s">
        <v>48</v>
      </c>
      <c r="C54" s="1">
        <v>1550.4</v>
      </c>
      <c r="D54" s="1">
        <v>0</v>
      </c>
      <c r="E54" s="1">
        <v>0</v>
      </c>
      <c r="F54" s="1">
        <v>0</v>
      </c>
      <c r="H54" t="str">
        <f t="shared" si="0"/>
        <v>Camembert PierrotRICSU</v>
      </c>
      <c r="I54" t="str">
        <f>_xlfn.CONCAT(C54:D54:E54:F54)</f>
        <v>1550.4000</v>
      </c>
      <c r="J54">
        <f>AVERAGE(C54:D54:E54:F54)</f>
        <v>387.6</v>
      </c>
      <c r="K54">
        <f t="shared" si="1"/>
        <v>0</v>
      </c>
    </row>
    <row r="55" spans="1:11" x14ac:dyDescent="0.3">
      <c r="A55" s="5" t="s">
        <v>38</v>
      </c>
      <c r="B55" t="s">
        <v>17</v>
      </c>
      <c r="C55" s="1">
        <v>0</v>
      </c>
      <c r="D55" s="1">
        <v>0</v>
      </c>
      <c r="E55" s="1">
        <v>2380</v>
      </c>
      <c r="F55" s="1">
        <v>0</v>
      </c>
      <c r="H55" t="str">
        <f t="shared" si="0"/>
        <v>Camembert PierrotSAVEA</v>
      </c>
      <c r="I55" t="str">
        <f>_xlfn.CONCAT(C55:D55:E55:F55)</f>
        <v>0023800</v>
      </c>
      <c r="J55">
        <f>AVERAGE(C55:D55:E55:F55)</f>
        <v>595</v>
      </c>
      <c r="K55">
        <f t="shared" si="1"/>
        <v>0</v>
      </c>
    </row>
    <row r="56" spans="1:11" x14ac:dyDescent="0.3">
      <c r="A56" s="5" t="s">
        <v>38</v>
      </c>
      <c r="B56" t="s">
        <v>49</v>
      </c>
      <c r="C56" s="1">
        <v>0</v>
      </c>
      <c r="D56" s="1">
        <v>693.6</v>
      </c>
      <c r="E56" s="1">
        <v>0</v>
      </c>
      <c r="F56" s="1">
        <v>0</v>
      </c>
      <c r="H56" t="str">
        <f t="shared" si="0"/>
        <v>Camembert PierrotWARTH</v>
      </c>
      <c r="I56" t="str">
        <f>_xlfn.CONCAT(C56:D56:E56:F56)</f>
        <v>0693.600</v>
      </c>
      <c r="J56">
        <f>AVERAGE(C56:D56:E56:F56)</f>
        <v>173.4</v>
      </c>
      <c r="K56">
        <f t="shared" si="1"/>
        <v>0</v>
      </c>
    </row>
    <row r="57" spans="1:11" x14ac:dyDescent="0.3">
      <c r="A57" s="5" t="s">
        <v>38</v>
      </c>
      <c r="B57" t="s">
        <v>50</v>
      </c>
      <c r="C57" s="1">
        <v>0</v>
      </c>
      <c r="D57" s="1">
        <v>0</v>
      </c>
      <c r="E57" s="1">
        <v>510</v>
      </c>
      <c r="F57" s="1">
        <v>0</v>
      </c>
      <c r="H57" t="str">
        <f t="shared" si="0"/>
        <v>Camembert PierrotWOLZA</v>
      </c>
      <c r="I57" t="str">
        <f>_xlfn.CONCAT(C57:D57:E57:F57)</f>
        <v>005100</v>
      </c>
      <c r="J57">
        <f>AVERAGE(C57:D57:E57:F57)</f>
        <v>127.5</v>
      </c>
      <c r="K57">
        <f t="shared" si="1"/>
        <v>0</v>
      </c>
    </row>
    <row r="58" spans="1:11" x14ac:dyDescent="0.3">
      <c r="A58" s="5" t="s">
        <v>51</v>
      </c>
      <c r="B58" t="s">
        <v>8</v>
      </c>
      <c r="C58" s="1">
        <v>0</v>
      </c>
      <c r="D58" s="1">
        <v>0</v>
      </c>
      <c r="E58" s="1">
        <v>237.6</v>
      </c>
      <c r="F58" s="1">
        <v>0</v>
      </c>
      <c r="H58" t="str">
        <f t="shared" si="0"/>
        <v>Chef Anton's Cajun SeasoningBERGS</v>
      </c>
      <c r="I58" t="str">
        <f>_xlfn.CONCAT(C58:D58:E58:F58)</f>
        <v>00237.60</v>
      </c>
      <c r="J58">
        <f>AVERAGE(C58:D58:E58:F58)</f>
        <v>59.4</v>
      </c>
      <c r="K58">
        <f t="shared" si="1"/>
        <v>0</v>
      </c>
    </row>
    <row r="59" spans="1:11" x14ac:dyDescent="0.3">
      <c r="A59" s="5" t="s">
        <v>51</v>
      </c>
      <c r="B59" t="s">
        <v>26</v>
      </c>
      <c r="C59" s="1">
        <v>0</v>
      </c>
      <c r="D59" s="1">
        <v>935</v>
      </c>
      <c r="E59" s="1">
        <v>0</v>
      </c>
      <c r="F59" s="1">
        <v>0</v>
      </c>
      <c r="H59" t="str">
        <f t="shared" si="0"/>
        <v>Chef Anton's Cajun SeasoningBONAP</v>
      </c>
      <c r="I59" t="str">
        <f>_xlfn.CONCAT(C59:D59:E59:F59)</f>
        <v>093500</v>
      </c>
      <c r="J59">
        <f>AVERAGE(C59:D59:E59:F59)</f>
        <v>233.75</v>
      </c>
      <c r="K59">
        <f t="shared" si="1"/>
        <v>0</v>
      </c>
    </row>
    <row r="60" spans="1:11" x14ac:dyDescent="0.3">
      <c r="A60" s="5" t="s">
        <v>51</v>
      </c>
      <c r="B60" t="s">
        <v>52</v>
      </c>
      <c r="C60" s="1">
        <v>0</v>
      </c>
      <c r="D60" s="1">
        <v>0</v>
      </c>
      <c r="E60" s="1">
        <v>0</v>
      </c>
      <c r="F60" s="1">
        <v>550</v>
      </c>
      <c r="H60" t="str">
        <f t="shared" si="0"/>
        <v>Chef Anton's Cajun SeasoningEASTC</v>
      </c>
      <c r="I60" t="str">
        <f>_xlfn.CONCAT(C60:D60:E60:F60)</f>
        <v>000550</v>
      </c>
      <c r="J60">
        <f>AVERAGE(C60:D60:E60:F60)</f>
        <v>137.5</v>
      </c>
      <c r="K60">
        <f t="shared" si="1"/>
        <v>0</v>
      </c>
    </row>
    <row r="61" spans="1:11" x14ac:dyDescent="0.3">
      <c r="A61" s="5" t="s">
        <v>51</v>
      </c>
      <c r="B61" t="s">
        <v>53</v>
      </c>
      <c r="C61" s="1">
        <v>0</v>
      </c>
      <c r="D61" s="1">
        <v>1045</v>
      </c>
      <c r="E61" s="1">
        <v>0</v>
      </c>
      <c r="F61" s="1">
        <v>0</v>
      </c>
      <c r="H61" t="str">
        <f t="shared" si="0"/>
        <v>Chef Anton's Cajun SeasoningFOLKO</v>
      </c>
      <c r="I61" t="str">
        <f>_xlfn.CONCAT(C61:D61:E61:F61)</f>
        <v>0104500</v>
      </c>
      <c r="J61">
        <f>AVERAGE(C61:D61:E61:F61)</f>
        <v>261.25</v>
      </c>
      <c r="K61">
        <f t="shared" si="1"/>
        <v>0</v>
      </c>
    </row>
    <row r="62" spans="1:11" x14ac:dyDescent="0.3">
      <c r="A62" s="5" t="s">
        <v>51</v>
      </c>
      <c r="B62" t="s">
        <v>44</v>
      </c>
      <c r="C62" s="1">
        <v>225.28</v>
      </c>
      <c r="D62" s="1">
        <v>0</v>
      </c>
      <c r="E62" s="1">
        <v>0</v>
      </c>
      <c r="F62" s="1">
        <v>0</v>
      </c>
      <c r="H62" t="str">
        <f t="shared" si="0"/>
        <v>Chef Anton's Cajun SeasoningFURIB</v>
      </c>
      <c r="I62" t="str">
        <f>_xlfn.CONCAT(C62:D62:E62:F62)</f>
        <v>225.28000</v>
      </c>
      <c r="J62">
        <f>AVERAGE(C62:D62:E62:F62)</f>
        <v>56.32</v>
      </c>
      <c r="K62">
        <f t="shared" si="1"/>
        <v>0</v>
      </c>
    </row>
    <row r="63" spans="1:11" x14ac:dyDescent="0.3">
      <c r="A63" s="5" t="s">
        <v>51</v>
      </c>
      <c r="B63" t="s">
        <v>32</v>
      </c>
      <c r="C63" s="1">
        <v>0</v>
      </c>
      <c r="D63" s="1">
        <v>0</v>
      </c>
      <c r="E63" s="1">
        <v>198</v>
      </c>
      <c r="F63" s="1">
        <v>0</v>
      </c>
      <c r="H63" t="str">
        <f t="shared" si="0"/>
        <v>Chef Anton's Cajun SeasoningMAGAA</v>
      </c>
      <c r="I63" t="str">
        <f>_xlfn.CONCAT(C63:D63:E63:F63)</f>
        <v>001980</v>
      </c>
      <c r="J63">
        <f>AVERAGE(C63:D63:E63:F63)</f>
        <v>49.5</v>
      </c>
      <c r="K63">
        <f t="shared" si="1"/>
        <v>0</v>
      </c>
    </row>
    <row r="64" spans="1:11" x14ac:dyDescent="0.3">
      <c r="A64" s="5" t="s">
        <v>51</v>
      </c>
      <c r="B64" t="s">
        <v>35</v>
      </c>
      <c r="C64" s="1">
        <v>0</v>
      </c>
      <c r="D64" s="1">
        <v>0</v>
      </c>
      <c r="E64" s="1">
        <v>0</v>
      </c>
      <c r="F64" s="1">
        <v>132</v>
      </c>
      <c r="H64" t="str">
        <f t="shared" si="0"/>
        <v>Chef Anton's Cajun SeasoningQUEEN</v>
      </c>
      <c r="I64" t="str">
        <f>_xlfn.CONCAT(C64:D64:E64:F64)</f>
        <v>000132</v>
      </c>
      <c r="J64">
        <f>AVERAGE(C64:D64:E64:F64)</f>
        <v>33</v>
      </c>
      <c r="K64">
        <f t="shared" si="1"/>
        <v>0</v>
      </c>
    </row>
    <row r="65" spans="1:11" x14ac:dyDescent="0.3">
      <c r="A65" s="5" t="s">
        <v>51</v>
      </c>
      <c r="B65" t="s">
        <v>23</v>
      </c>
      <c r="C65" s="1">
        <v>0</v>
      </c>
      <c r="D65" s="1">
        <v>990</v>
      </c>
      <c r="E65" s="1">
        <v>0</v>
      </c>
      <c r="F65" s="1">
        <v>0</v>
      </c>
      <c r="H65" t="str">
        <f t="shared" si="0"/>
        <v>Chef Anton's Cajun SeasoningQUICK</v>
      </c>
      <c r="I65" t="str">
        <f>_xlfn.CONCAT(C65:D65:E65:F65)</f>
        <v>099000</v>
      </c>
      <c r="J65">
        <f>AVERAGE(C65:D65:E65:F65)</f>
        <v>247.5</v>
      </c>
      <c r="K65">
        <f t="shared" si="1"/>
        <v>0</v>
      </c>
    </row>
    <row r="66" spans="1:11" x14ac:dyDescent="0.3">
      <c r="A66" s="5" t="s">
        <v>51</v>
      </c>
      <c r="B66" t="s">
        <v>54</v>
      </c>
      <c r="C66" s="1">
        <v>0</v>
      </c>
      <c r="D66" s="1">
        <v>0</v>
      </c>
      <c r="E66" s="1">
        <v>352</v>
      </c>
      <c r="F66" s="1">
        <v>0</v>
      </c>
      <c r="H66" t="str">
        <f t="shared" ref="H66:H129" si="2">_xlfn.CONCAT(A66:B66)</f>
        <v>Chef Anton's Cajun SeasoningTRADH</v>
      </c>
      <c r="I66" t="str">
        <f>_xlfn.CONCAT(C66:D66:E66:F66)</f>
        <v>003520</v>
      </c>
      <c r="J66">
        <f>AVERAGE(C66:D66:E66:F66)</f>
        <v>88</v>
      </c>
      <c r="K66">
        <f t="shared" si="1"/>
        <v>0</v>
      </c>
    </row>
    <row r="67" spans="1:11" x14ac:dyDescent="0.3">
      <c r="A67" s="5" t="s">
        <v>51</v>
      </c>
      <c r="B67" t="s">
        <v>49</v>
      </c>
      <c r="C67" s="1">
        <v>0</v>
      </c>
      <c r="D67" s="1">
        <v>0</v>
      </c>
      <c r="E67" s="1">
        <v>550</v>
      </c>
      <c r="F67" s="1">
        <v>0</v>
      </c>
      <c r="H67" t="str">
        <f t="shared" si="2"/>
        <v>Chef Anton's Cajun SeasoningWARTH</v>
      </c>
      <c r="I67" t="str">
        <f>_xlfn.CONCAT(C67:D67:E67:F67)</f>
        <v>005500</v>
      </c>
      <c r="J67">
        <f>AVERAGE(C67:D67:E67:F67)</f>
        <v>137.5</v>
      </c>
      <c r="K67">
        <f t="shared" ref="K67:K130" si="3">C67*D67*E67*F67</f>
        <v>0</v>
      </c>
    </row>
    <row r="68" spans="1:11" x14ac:dyDescent="0.3">
      <c r="A68" s="5" t="s">
        <v>55</v>
      </c>
      <c r="B68" t="s">
        <v>32</v>
      </c>
      <c r="C68" s="1">
        <v>0</v>
      </c>
      <c r="D68" s="1">
        <v>0</v>
      </c>
      <c r="E68" s="1">
        <v>288.22000000000003</v>
      </c>
      <c r="F68" s="1">
        <v>0</v>
      </c>
      <c r="H68" t="str">
        <f t="shared" si="2"/>
        <v>Chef Anton's Gumbo MixMAGAA</v>
      </c>
      <c r="I68" t="str">
        <f>_xlfn.CONCAT(C68:D68:E68:F68)</f>
        <v>00288.220</v>
      </c>
      <c r="J68">
        <f>AVERAGE(C68:D68:E68:F68)</f>
        <v>72.055000000000007</v>
      </c>
      <c r="K68">
        <f t="shared" si="3"/>
        <v>0</v>
      </c>
    </row>
    <row r="69" spans="1:11" x14ac:dyDescent="0.3">
      <c r="A69" s="5" t="s">
        <v>55</v>
      </c>
      <c r="B69" t="s">
        <v>56</v>
      </c>
      <c r="C69" s="1">
        <v>0</v>
      </c>
      <c r="D69" s="1">
        <v>0</v>
      </c>
      <c r="E69" s="1">
        <v>0</v>
      </c>
      <c r="F69" s="1">
        <v>85.4</v>
      </c>
      <c r="H69" t="str">
        <f t="shared" si="2"/>
        <v>Chef Anton's Gumbo MixTHEBI</v>
      </c>
      <c r="I69" t="str">
        <f>_xlfn.CONCAT(C69:D69:E69:F69)</f>
        <v>00085.4</v>
      </c>
      <c r="J69">
        <f>AVERAGE(C69:D69:E69:F69)</f>
        <v>21.35</v>
      </c>
      <c r="K69">
        <f t="shared" si="3"/>
        <v>0</v>
      </c>
    </row>
    <row r="70" spans="1:11" x14ac:dyDescent="0.3">
      <c r="A70" s="5" t="s">
        <v>57</v>
      </c>
      <c r="B70" t="s">
        <v>40</v>
      </c>
      <c r="C70" s="1">
        <v>0</v>
      </c>
      <c r="D70" s="1">
        <v>210</v>
      </c>
      <c r="E70" s="1">
        <v>0</v>
      </c>
      <c r="F70" s="1">
        <v>56</v>
      </c>
      <c r="H70" t="str">
        <f t="shared" si="2"/>
        <v>Filo MixAROUT</v>
      </c>
      <c r="I70" t="str">
        <f>_xlfn.CONCAT(C70:D70:E70:F70)</f>
        <v>0210056</v>
      </c>
      <c r="J70">
        <f>AVERAGE(C70:D70:E70:F70)</f>
        <v>66.5</v>
      </c>
      <c r="K70">
        <f t="shared" si="3"/>
        <v>0</v>
      </c>
    </row>
    <row r="71" spans="1:11" x14ac:dyDescent="0.3">
      <c r="A71" s="5" t="s">
        <v>57</v>
      </c>
      <c r="B71" t="s">
        <v>8</v>
      </c>
      <c r="C71" s="1">
        <v>0</v>
      </c>
      <c r="D71" s="1">
        <v>0</v>
      </c>
      <c r="E71" s="1">
        <v>0</v>
      </c>
      <c r="F71" s="1">
        <v>175</v>
      </c>
      <c r="H71" t="str">
        <f t="shared" si="2"/>
        <v>Filo MixBERGS</v>
      </c>
      <c r="I71" t="str">
        <f>_xlfn.CONCAT(C71:D71:E71:F71)</f>
        <v>000175</v>
      </c>
      <c r="J71">
        <f>AVERAGE(C71:D71:E71:F71)</f>
        <v>43.75</v>
      </c>
      <c r="K71">
        <f t="shared" si="3"/>
        <v>0</v>
      </c>
    </row>
    <row r="72" spans="1:11" x14ac:dyDescent="0.3">
      <c r="A72" s="5" t="s">
        <v>57</v>
      </c>
      <c r="B72" t="s">
        <v>58</v>
      </c>
      <c r="C72" s="1">
        <v>112</v>
      </c>
      <c r="D72" s="1">
        <v>0</v>
      </c>
      <c r="E72" s="1">
        <v>0</v>
      </c>
      <c r="F72" s="1">
        <v>0</v>
      </c>
      <c r="H72" t="str">
        <f t="shared" si="2"/>
        <v>Filo MixBLONP</v>
      </c>
      <c r="I72" t="str">
        <f>_xlfn.CONCAT(C72:D72:E72:F72)</f>
        <v>112000</v>
      </c>
      <c r="J72">
        <f>AVERAGE(C72:D72:E72:F72)</f>
        <v>28</v>
      </c>
      <c r="K72">
        <f t="shared" si="3"/>
        <v>0</v>
      </c>
    </row>
    <row r="73" spans="1:11" x14ac:dyDescent="0.3">
      <c r="A73" s="5" t="s">
        <v>57</v>
      </c>
      <c r="B73" t="s">
        <v>59</v>
      </c>
      <c r="C73" s="1">
        <v>0</v>
      </c>
      <c r="D73" s="1">
        <v>0</v>
      </c>
      <c r="E73" s="1">
        <v>63</v>
      </c>
      <c r="F73" s="1">
        <v>0</v>
      </c>
      <c r="H73" t="str">
        <f t="shared" si="2"/>
        <v>Filo MixDUMON</v>
      </c>
      <c r="I73" t="str">
        <f>_xlfn.CONCAT(C73:D73:E73:F73)</f>
        <v>00630</v>
      </c>
      <c r="J73">
        <f>AVERAGE(C73:D73:E73:F73)</f>
        <v>15.75</v>
      </c>
      <c r="K73">
        <f t="shared" si="3"/>
        <v>0</v>
      </c>
    </row>
    <row r="74" spans="1:11" x14ac:dyDescent="0.3">
      <c r="A74" s="5" t="s">
        <v>57</v>
      </c>
      <c r="B74" t="s">
        <v>42</v>
      </c>
      <c r="C74" s="1">
        <v>0</v>
      </c>
      <c r="D74" s="1">
        <v>0</v>
      </c>
      <c r="E74" s="1">
        <v>0</v>
      </c>
      <c r="F74" s="1">
        <v>28</v>
      </c>
      <c r="H74" t="str">
        <f t="shared" si="2"/>
        <v>Filo MixFAMIA</v>
      </c>
      <c r="I74" t="str">
        <f>_xlfn.CONCAT(C74:D74:E74:F74)</f>
        <v>00028</v>
      </c>
      <c r="J74">
        <f>AVERAGE(C74:D74:E74:F74)</f>
        <v>7</v>
      </c>
      <c r="K74">
        <f t="shared" si="3"/>
        <v>0</v>
      </c>
    </row>
    <row r="75" spans="1:11" x14ac:dyDescent="0.3">
      <c r="A75" s="5" t="s">
        <v>57</v>
      </c>
      <c r="B75" t="s">
        <v>60</v>
      </c>
      <c r="C75" s="1">
        <v>0</v>
      </c>
      <c r="D75" s="1">
        <v>0</v>
      </c>
      <c r="E75" s="1">
        <v>35</v>
      </c>
      <c r="F75" s="1">
        <v>0</v>
      </c>
      <c r="H75" t="str">
        <f t="shared" si="2"/>
        <v>Filo MixLAUGB</v>
      </c>
      <c r="I75" t="str">
        <f>_xlfn.CONCAT(C75:D75:E75:F75)</f>
        <v>00350</v>
      </c>
      <c r="J75">
        <f>AVERAGE(C75:D75:E75:F75)</f>
        <v>8.75</v>
      </c>
      <c r="K75">
        <f t="shared" si="3"/>
        <v>0</v>
      </c>
    </row>
    <row r="76" spans="1:11" x14ac:dyDescent="0.3">
      <c r="A76" s="5" t="s">
        <v>57</v>
      </c>
      <c r="B76" t="s">
        <v>61</v>
      </c>
      <c r="C76" s="1">
        <v>0</v>
      </c>
      <c r="D76" s="1">
        <v>42</v>
      </c>
      <c r="E76" s="1">
        <v>0</v>
      </c>
      <c r="F76" s="1">
        <v>0</v>
      </c>
      <c r="H76" t="str">
        <f t="shared" si="2"/>
        <v>Filo MixNORTS</v>
      </c>
      <c r="I76" t="str">
        <f>_xlfn.CONCAT(C76:D76:E76:F76)</f>
        <v>04200</v>
      </c>
      <c r="J76">
        <f>AVERAGE(C76:D76:E76:F76)</f>
        <v>10.5</v>
      </c>
      <c r="K76">
        <f t="shared" si="3"/>
        <v>0</v>
      </c>
    </row>
    <row r="77" spans="1:11" x14ac:dyDescent="0.3">
      <c r="A77" s="5" t="s">
        <v>57</v>
      </c>
      <c r="B77" t="s">
        <v>62</v>
      </c>
      <c r="C77" s="1">
        <v>0</v>
      </c>
      <c r="D77" s="1">
        <v>0</v>
      </c>
      <c r="E77" s="1">
        <v>168</v>
      </c>
      <c r="F77" s="1">
        <v>0</v>
      </c>
      <c r="H77" t="str">
        <f t="shared" si="2"/>
        <v>Filo MixOLDWO</v>
      </c>
      <c r="I77" t="str">
        <f>_xlfn.CONCAT(C77:D77:E77:F77)</f>
        <v>001680</v>
      </c>
      <c r="J77">
        <f>AVERAGE(C77:D77:E77:F77)</f>
        <v>42</v>
      </c>
      <c r="K77">
        <f t="shared" si="3"/>
        <v>0</v>
      </c>
    </row>
    <row r="78" spans="1:11" x14ac:dyDescent="0.3">
      <c r="A78" s="5" t="s">
        <v>57</v>
      </c>
      <c r="B78" t="s">
        <v>16</v>
      </c>
      <c r="C78" s="1">
        <v>0</v>
      </c>
      <c r="D78" s="1">
        <v>0</v>
      </c>
      <c r="E78" s="1">
        <v>23.8</v>
      </c>
      <c r="F78" s="1">
        <v>0</v>
      </c>
      <c r="H78" t="str">
        <f t="shared" si="2"/>
        <v>Filo MixREGGC</v>
      </c>
      <c r="I78" t="str">
        <f>_xlfn.CONCAT(C78:D78:E78:F78)</f>
        <v>0023.80</v>
      </c>
      <c r="J78">
        <f>AVERAGE(C78:D78:E78:F78)</f>
        <v>5.95</v>
      </c>
      <c r="K78">
        <f t="shared" si="3"/>
        <v>0</v>
      </c>
    </row>
    <row r="79" spans="1:11" x14ac:dyDescent="0.3">
      <c r="A79" s="5" t="s">
        <v>57</v>
      </c>
      <c r="B79" t="s">
        <v>47</v>
      </c>
      <c r="C79" s="1">
        <v>0</v>
      </c>
      <c r="D79" s="1">
        <v>490</v>
      </c>
      <c r="E79" s="1">
        <v>0</v>
      </c>
      <c r="F79" s="1">
        <v>0</v>
      </c>
      <c r="H79" t="str">
        <f t="shared" si="2"/>
        <v>Filo MixRICAR</v>
      </c>
      <c r="I79" t="str">
        <f>_xlfn.CONCAT(C79:D79:E79:F79)</f>
        <v>049000</v>
      </c>
      <c r="J79">
        <f>AVERAGE(C79:D79:E79:F79)</f>
        <v>122.5</v>
      </c>
      <c r="K79">
        <f t="shared" si="3"/>
        <v>0</v>
      </c>
    </row>
    <row r="80" spans="1:11" x14ac:dyDescent="0.3">
      <c r="A80" s="5" t="s">
        <v>57</v>
      </c>
      <c r="B80" t="s">
        <v>48</v>
      </c>
      <c r="C80" s="1">
        <v>0</v>
      </c>
      <c r="D80" s="1">
        <v>0</v>
      </c>
      <c r="E80" s="1">
        <v>0</v>
      </c>
      <c r="F80" s="1">
        <v>420</v>
      </c>
      <c r="H80" t="str">
        <f t="shared" si="2"/>
        <v>Filo MixRICSU</v>
      </c>
      <c r="I80" t="str">
        <f>_xlfn.CONCAT(C80:D80:E80:F80)</f>
        <v>000420</v>
      </c>
      <c r="J80">
        <f>AVERAGE(C80:D80:E80:F80)</f>
        <v>105</v>
      </c>
      <c r="K80">
        <f t="shared" si="3"/>
        <v>0</v>
      </c>
    </row>
    <row r="81" spans="1:11" x14ac:dyDescent="0.3">
      <c r="A81" s="5" t="s">
        <v>57</v>
      </c>
      <c r="B81" t="s">
        <v>63</v>
      </c>
      <c r="C81" s="1">
        <v>75.599999999999994</v>
      </c>
      <c r="D81" s="1">
        <v>0</v>
      </c>
      <c r="E81" s="1">
        <v>0</v>
      </c>
      <c r="F81" s="1">
        <v>0</v>
      </c>
      <c r="H81" t="str">
        <f t="shared" si="2"/>
        <v>Filo MixTOMSP</v>
      </c>
      <c r="I81" t="str">
        <f>_xlfn.CONCAT(C81:D81:E81:F81)</f>
        <v>75.6000</v>
      </c>
      <c r="J81">
        <f>AVERAGE(C81:D81:E81:F81)</f>
        <v>18.899999999999999</v>
      </c>
      <c r="K81">
        <f t="shared" si="3"/>
        <v>0</v>
      </c>
    </row>
    <row r="82" spans="1:11" x14ac:dyDescent="0.3">
      <c r="A82" s="5" t="s">
        <v>57</v>
      </c>
      <c r="B82" t="s">
        <v>24</v>
      </c>
      <c r="C82" s="1">
        <v>0</v>
      </c>
      <c r="D82" s="1">
        <v>0</v>
      </c>
      <c r="E82" s="1">
        <v>0</v>
      </c>
      <c r="F82" s="1">
        <v>99.75</v>
      </c>
      <c r="H82" t="str">
        <f t="shared" si="2"/>
        <v>Filo MixVAFFE</v>
      </c>
      <c r="I82" t="str">
        <f>_xlfn.CONCAT(C82:D82:E82:F82)</f>
        <v>00099.75</v>
      </c>
      <c r="J82">
        <f>AVERAGE(C82:D82:E82:F82)</f>
        <v>24.9375</v>
      </c>
      <c r="K82">
        <f t="shared" si="3"/>
        <v>0</v>
      </c>
    </row>
    <row r="83" spans="1:11" x14ac:dyDescent="0.3">
      <c r="A83" s="5" t="s">
        <v>57</v>
      </c>
      <c r="B83" t="s">
        <v>64</v>
      </c>
      <c r="C83" s="1">
        <v>0</v>
      </c>
      <c r="D83" s="1">
        <v>0</v>
      </c>
      <c r="E83" s="1">
        <v>0</v>
      </c>
      <c r="F83" s="1">
        <v>126</v>
      </c>
      <c r="H83" t="str">
        <f t="shared" si="2"/>
        <v>Filo MixVINET</v>
      </c>
      <c r="I83" t="str">
        <f>_xlfn.CONCAT(C83:D83:E83:F83)</f>
        <v>000126</v>
      </c>
      <c r="J83">
        <f>AVERAGE(C83:D83:E83:F83)</f>
        <v>31.5</v>
      </c>
      <c r="K83">
        <f t="shared" si="3"/>
        <v>0</v>
      </c>
    </row>
    <row r="84" spans="1:11" x14ac:dyDescent="0.3">
      <c r="A84" s="5" t="s">
        <v>65</v>
      </c>
      <c r="B84" t="s">
        <v>40</v>
      </c>
      <c r="C84" s="1">
        <v>0</v>
      </c>
      <c r="D84" s="1">
        <v>0</v>
      </c>
      <c r="E84" s="1">
        <v>0</v>
      </c>
      <c r="F84" s="1">
        <v>625</v>
      </c>
      <c r="H84" t="str">
        <f t="shared" si="2"/>
        <v>Gorgonzola TelinoAROUT</v>
      </c>
      <c r="I84" t="str">
        <f>_xlfn.CONCAT(C84:D84:E84:F84)</f>
        <v>000625</v>
      </c>
      <c r="J84">
        <f>AVERAGE(C84:D84:E84:F84)</f>
        <v>156.25</v>
      </c>
      <c r="K84">
        <f t="shared" si="3"/>
        <v>0</v>
      </c>
    </row>
    <row r="85" spans="1:11" x14ac:dyDescent="0.3">
      <c r="A85" s="5" t="s">
        <v>65</v>
      </c>
      <c r="B85" t="s">
        <v>58</v>
      </c>
      <c r="C85" s="1">
        <v>0</v>
      </c>
      <c r="D85" s="1">
        <v>593.75</v>
      </c>
      <c r="E85" s="1">
        <v>0</v>
      </c>
      <c r="F85" s="1">
        <v>0</v>
      </c>
      <c r="H85" t="str">
        <f t="shared" si="2"/>
        <v>Gorgonzola TelinoBLONP</v>
      </c>
      <c r="I85" t="str">
        <f>_xlfn.CONCAT(C85:D85:E85:F85)</f>
        <v>0593.7500</v>
      </c>
      <c r="J85">
        <f>AVERAGE(C85:D85:E85:F85)</f>
        <v>148.4375</v>
      </c>
      <c r="K85">
        <f t="shared" si="3"/>
        <v>0</v>
      </c>
    </row>
    <row r="86" spans="1:11" x14ac:dyDescent="0.3">
      <c r="A86" s="5" t="s">
        <v>65</v>
      </c>
      <c r="B86" t="s">
        <v>26</v>
      </c>
      <c r="C86" s="1">
        <v>0</v>
      </c>
      <c r="D86" s="1">
        <v>0</v>
      </c>
      <c r="E86" s="1">
        <v>0</v>
      </c>
      <c r="F86" s="1">
        <v>35.619999999999997</v>
      </c>
      <c r="H86" t="str">
        <f t="shared" si="2"/>
        <v>Gorgonzola TelinoBONAP</v>
      </c>
      <c r="I86" t="str">
        <f>_xlfn.CONCAT(C86:D86:E86:F86)</f>
        <v>00035.62</v>
      </c>
      <c r="J86">
        <f>AVERAGE(C86:D86:E86:F86)</f>
        <v>8.9049999999999994</v>
      </c>
      <c r="K86">
        <f t="shared" si="3"/>
        <v>0</v>
      </c>
    </row>
    <row r="87" spans="1:11" x14ac:dyDescent="0.3">
      <c r="A87" s="5" t="s">
        <v>65</v>
      </c>
      <c r="B87" t="s">
        <v>66</v>
      </c>
      <c r="C87" s="1">
        <v>0</v>
      </c>
      <c r="D87" s="1">
        <v>0</v>
      </c>
      <c r="E87" s="1">
        <v>0</v>
      </c>
      <c r="F87" s="1">
        <v>12.5</v>
      </c>
      <c r="H87" t="str">
        <f t="shared" si="2"/>
        <v>Gorgonzola TelinoCACTU</v>
      </c>
      <c r="I87" t="str">
        <f>_xlfn.CONCAT(C87:D87:E87:F87)</f>
        <v>00012.5</v>
      </c>
      <c r="J87">
        <f>AVERAGE(C87:D87:E87:F87)</f>
        <v>3.125</v>
      </c>
      <c r="K87">
        <f t="shared" si="3"/>
        <v>0</v>
      </c>
    </row>
    <row r="88" spans="1:11" x14ac:dyDescent="0.3">
      <c r="A88" s="5" t="s">
        <v>65</v>
      </c>
      <c r="B88" t="s">
        <v>11</v>
      </c>
      <c r="C88" s="1">
        <v>0</v>
      </c>
      <c r="D88" s="1">
        <v>0</v>
      </c>
      <c r="E88" s="1">
        <v>0</v>
      </c>
      <c r="F88" s="1">
        <v>890</v>
      </c>
      <c r="H88" t="str">
        <f t="shared" si="2"/>
        <v>Gorgonzola TelinoERNSH</v>
      </c>
      <c r="I88" t="str">
        <f>_xlfn.CONCAT(C88:D88:E88:F88)</f>
        <v>000890</v>
      </c>
      <c r="J88">
        <f>AVERAGE(C88:D88:E88:F88)</f>
        <v>222.5</v>
      </c>
      <c r="K88">
        <f t="shared" si="3"/>
        <v>0</v>
      </c>
    </row>
    <row r="89" spans="1:11" x14ac:dyDescent="0.3">
      <c r="A89" s="5" t="s">
        <v>65</v>
      </c>
      <c r="B89" t="s">
        <v>53</v>
      </c>
      <c r="C89" s="1">
        <v>0</v>
      </c>
      <c r="D89" s="1">
        <v>0</v>
      </c>
      <c r="E89" s="1">
        <v>0</v>
      </c>
      <c r="F89" s="1">
        <v>18.75</v>
      </c>
      <c r="H89" t="str">
        <f t="shared" si="2"/>
        <v>Gorgonzola TelinoFOLKO</v>
      </c>
      <c r="I89" t="str">
        <f>_xlfn.CONCAT(C89:D89:E89:F89)</f>
        <v>00018.75</v>
      </c>
      <c r="J89">
        <f>AVERAGE(C89:D89:E89:F89)</f>
        <v>4.6875</v>
      </c>
      <c r="K89">
        <f t="shared" si="3"/>
        <v>0</v>
      </c>
    </row>
    <row r="90" spans="1:11" x14ac:dyDescent="0.3">
      <c r="A90" s="5" t="s">
        <v>65</v>
      </c>
      <c r="B90" t="s">
        <v>45</v>
      </c>
      <c r="C90" s="1">
        <v>140</v>
      </c>
      <c r="D90" s="1">
        <v>0</v>
      </c>
      <c r="E90" s="1">
        <v>0</v>
      </c>
      <c r="F90" s="1">
        <v>0</v>
      </c>
      <c r="H90" t="str">
        <f t="shared" si="2"/>
        <v>Gorgonzola TelinoGOURL</v>
      </c>
      <c r="I90" t="str">
        <f>_xlfn.CONCAT(C90:D90:E90:F90)</f>
        <v>140000</v>
      </c>
      <c r="J90">
        <f>AVERAGE(C90:D90:E90:F90)</f>
        <v>35</v>
      </c>
      <c r="K90">
        <f t="shared" si="3"/>
        <v>0</v>
      </c>
    </row>
    <row r="91" spans="1:11" x14ac:dyDescent="0.3">
      <c r="A91" s="5" t="s">
        <v>65</v>
      </c>
      <c r="B91" t="s">
        <v>67</v>
      </c>
      <c r="C91" s="1">
        <v>0</v>
      </c>
      <c r="D91" s="1">
        <v>0</v>
      </c>
      <c r="E91" s="1">
        <v>0</v>
      </c>
      <c r="F91" s="1">
        <v>125</v>
      </c>
      <c r="H91" t="str">
        <f t="shared" si="2"/>
        <v>Gorgonzola TelinoHANAR</v>
      </c>
      <c r="I91" t="str">
        <f>_xlfn.CONCAT(C91:D91:E91:F91)</f>
        <v>000125</v>
      </c>
      <c r="J91">
        <f>AVERAGE(C91:D91:E91:F91)</f>
        <v>31.25</v>
      </c>
      <c r="K91">
        <f t="shared" si="3"/>
        <v>0</v>
      </c>
    </row>
    <row r="92" spans="1:11" x14ac:dyDescent="0.3">
      <c r="A92" s="5" t="s">
        <v>65</v>
      </c>
      <c r="B92" t="s">
        <v>29</v>
      </c>
      <c r="C92" s="1">
        <v>0</v>
      </c>
      <c r="D92" s="1">
        <v>0</v>
      </c>
      <c r="E92" s="1">
        <v>0</v>
      </c>
      <c r="F92" s="1">
        <v>250</v>
      </c>
      <c r="H92" t="str">
        <f t="shared" si="2"/>
        <v>Gorgonzola TelinoHILAA</v>
      </c>
      <c r="I92" t="str">
        <f>_xlfn.CONCAT(C92:D92:E92:F92)</f>
        <v>000250</v>
      </c>
      <c r="J92">
        <f>AVERAGE(C92:D92:E92:F92)</f>
        <v>62.5</v>
      </c>
      <c r="K92">
        <f t="shared" si="3"/>
        <v>0</v>
      </c>
    </row>
    <row r="93" spans="1:11" x14ac:dyDescent="0.3">
      <c r="A93" s="5" t="s">
        <v>65</v>
      </c>
      <c r="B93" t="s">
        <v>68</v>
      </c>
      <c r="C93" s="1">
        <v>0</v>
      </c>
      <c r="D93" s="1">
        <v>600</v>
      </c>
      <c r="E93" s="1">
        <v>0</v>
      </c>
      <c r="F93" s="1">
        <v>0</v>
      </c>
      <c r="H93" t="str">
        <f t="shared" si="2"/>
        <v>Gorgonzola TelinoHUNGO</v>
      </c>
      <c r="I93" t="str">
        <f>_xlfn.CONCAT(C93:D93:E93:F93)</f>
        <v>060000</v>
      </c>
      <c r="J93">
        <f>AVERAGE(C93:D93:E93:F93)</f>
        <v>150</v>
      </c>
      <c r="K93">
        <f t="shared" si="3"/>
        <v>0</v>
      </c>
    </row>
    <row r="94" spans="1:11" x14ac:dyDescent="0.3">
      <c r="A94" s="5" t="s">
        <v>65</v>
      </c>
      <c r="B94" t="s">
        <v>31</v>
      </c>
      <c r="C94" s="1">
        <v>0</v>
      </c>
      <c r="D94" s="1">
        <v>250</v>
      </c>
      <c r="E94" s="1">
        <v>0</v>
      </c>
      <c r="F94" s="1">
        <v>0</v>
      </c>
      <c r="H94" t="str">
        <f t="shared" si="2"/>
        <v>Gorgonzola TelinoLEHMS</v>
      </c>
      <c r="I94" t="str">
        <f>_xlfn.CONCAT(C94:D94:E94:F94)</f>
        <v>025000</v>
      </c>
      <c r="J94">
        <f>AVERAGE(C94:D94:E94:F94)</f>
        <v>62.5</v>
      </c>
      <c r="K94">
        <f t="shared" si="3"/>
        <v>0</v>
      </c>
    </row>
    <row r="95" spans="1:11" x14ac:dyDescent="0.3">
      <c r="A95" s="5" t="s">
        <v>65</v>
      </c>
      <c r="B95" t="s">
        <v>62</v>
      </c>
      <c r="C95" s="1">
        <v>0</v>
      </c>
      <c r="D95" s="1">
        <v>0</v>
      </c>
      <c r="E95" s="1">
        <v>187.5</v>
      </c>
      <c r="F95" s="1">
        <v>0</v>
      </c>
      <c r="H95" t="str">
        <f t="shared" si="2"/>
        <v>Gorgonzola TelinoOLDWO</v>
      </c>
      <c r="I95" t="str">
        <f>_xlfn.CONCAT(C95:D95:E95:F95)</f>
        <v>00187.50</v>
      </c>
      <c r="J95">
        <f>AVERAGE(C95:D95:E95:F95)</f>
        <v>46.875</v>
      </c>
      <c r="K95">
        <f t="shared" si="3"/>
        <v>0</v>
      </c>
    </row>
    <row r="96" spans="1:11" x14ac:dyDescent="0.3">
      <c r="A96" s="5" t="s">
        <v>65</v>
      </c>
      <c r="B96" t="s">
        <v>14</v>
      </c>
      <c r="C96" s="1">
        <v>0</v>
      </c>
      <c r="D96" s="1">
        <v>0</v>
      </c>
      <c r="E96" s="1">
        <v>0</v>
      </c>
      <c r="F96" s="1">
        <v>100</v>
      </c>
      <c r="H96" t="str">
        <f t="shared" si="2"/>
        <v>Gorgonzola TelinoPICCO</v>
      </c>
      <c r="I96" t="str">
        <f>_xlfn.CONCAT(C96:D96:E96:F96)</f>
        <v>000100</v>
      </c>
      <c r="J96">
        <f>AVERAGE(C96:D96:E96:F96)</f>
        <v>25</v>
      </c>
      <c r="K96">
        <f t="shared" si="3"/>
        <v>0</v>
      </c>
    </row>
    <row r="97" spans="1:11" x14ac:dyDescent="0.3">
      <c r="A97" s="5" t="s">
        <v>65</v>
      </c>
      <c r="B97" t="s">
        <v>35</v>
      </c>
      <c r="C97" s="1">
        <v>0</v>
      </c>
      <c r="D97" s="1">
        <v>0</v>
      </c>
      <c r="E97" s="1">
        <v>237.5</v>
      </c>
      <c r="F97" s="1">
        <v>0</v>
      </c>
      <c r="H97" t="str">
        <f t="shared" si="2"/>
        <v>Gorgonzola TelinoQUEEN</v>
      </c>
      <c r="I97" t="str">
        <f>_xlfn.CONCAT(C97:D97:E97:F97)</f>
        <v>00237.50</v>
      </c>
      <c r="J97">
        <f>AVERAGE(C97:D97:E97:F97)</f>
        <v>59.375</v>
      </c>
      <c r="K97">
        <f t="shared" si="3"/>
        <v>0</v>
      </c>
    </row>
    <row r="98" spans="1:11" x14ac:dyDescent="0.3">
      <c r="A98" s="5" t="s">
        <v>65</v>
      </c>
      <c r="B98" t="s">
        <v>23</v>
      </c>
      <c r="C98" s="1">
        <v>0</v>
      </c>
      <c r="D98" s="1">
        <v>584.37</v>
      </c>
      <c r="E98" s="1">
        <v>0</v>
      </c>
      <c r="F98" s="1">
        <v>0</v>
      </c>
      <c r="H98" t="str">
        <f t="shared" si="2"/>
        <v>Gorgonzola TelinoQUICK</v>
      </c>
      <c r="I98" t="str">
        <f>_xlfn.CONCAT(C98:D98:E98:F98)</f>
        <v>0584.3700</v>
      </c>
      <c r="J98">
        <f>AVERAGE(C98:D98:E98:F98)</f>
        <v>146.0925</v>
      </c>
      <c r="K98">
        <f t="shared" si="3"/>
        <v>0</v>
      </c>
    </row>
    <row r="99" spans="1:11" x14ac:dyDescent="0.3">
      <c r="A99" s="5" t="s">
        <v>65</v>
      </c>
      <c r="B99" t="s">
        <v>15</v>
      </c>
      <c r="C99" s="1">
        <v>0</v>
      </c>
      <c r="D99" s="1">
        <v>421.25</v>
      </c>
      <c r="E99" s="1">
        <v>0</v>
      </c>
      <c r="F99" s="1">
        <v>0</v>
      </c>
      <c r="H99" t="str">
        <f t="shared" si="2"/>
        <v>Gorgonzola TelinoRATTC</v>
      </c>
      <c r="I99" t="str">
        <f>_xlfn.CONCAT(C99:D99:E99:F99)</f>
        <v>0421.2500</v>
      </c>
      <c r="J99">
        <f>AVERAGE(C99:D99:E99:F99)</f>
        <v>105.3125</v>
      </c>
      <c r="K99">
        <f t="shared" si="3"/>
        <v>0</v>
      </c>
    </row>
    <row r="100" spans="1:11" x14ac:dyDescent="0.3">
      <c r="A100" s="5" t="s">
        <v>65</v>
      </c>
      <c r="B100" t="s">
        <v>48</v>
      </c>
      <c r="C100" s="1">
        <v>0</v>
      </c>
      <c r="D100" s="1">
        <v>375</v>
      </c>
      <c r="E100" s="1">
        <v>0</v>
      </c>
      <c r="F100" s="1">
        <v>0</v>
      </c>
      <c r="H100" t="str">
        <f t="shared" si="2"/>
        <v>Gorgonzola TelinoRICSU</v>
      </c>
      <c r="I100" t="str">
        <f>_xlfn.CONCAT(C100:D100:E100:F100)</f>
        <v>037500</v>
      </c>
      <c r="J100">
        <f>AVERAGE(C100:D100:E100:F100)</f>
        <v>93.75</v>
      </c>
      <c r="K100">
        <f t="shared" si="3"/>
        <v>0</v>
      </c>
    </row>
    <row r="101" spans="1:11" x14ac:dyDescent="0.3">
      <c r="A101" s="5" t="s">
        <v>65</v>
      </c>
      <c r="B101" t="s">
        <v>17</v>
      </c>
      <c r="C101" s="1">
        <v>0</v>
      </c>
      <c r="D101" s="1">
        <v>0</v>
      </c>
      <c r="E101" s="1">
        <v>0</v>
      </c>
      <c r="F101" s="1">
        <v>625</v>
      </c>
      <c r="H101" t="str">
        <f t="shared" si="2"/>
        <v>Gorgonzola TelinoSAVEA</v>
      </c>
      <c r="I101" t="str">
        <f>_xlfn.CONCAT(C101:D101:E101:F101)</f>
        <v>000625</v>
      </c>
      <c r="J101">
        <f>AVERAGE(C101:D101:E101:F101)</f>
        <v>156.25</v>
      </c>
      <c r="K101">
        <f t="shared" si="3"/>
        <v>0</v>
      </c>
    </row>
    <row r="102" spans="1:11" x14ac:dyDescent="0.3">
      <c r="A102" s="5" t="s">
        <v>65</v>
      </c>
      <c r="B102" t="s">
        <v>69</v>
      </c>
      <c r="C102" s="1">
        <v>297.5</v>
      </c>
      <c r="D102" s="1">
        <v>0</v>
      </c>
      <c r="E102" s="1">
        <v>0</v>
      </c>
      <c r="F102" s="1">
        <v>0</v>
      </c>
      <c r="H102" t="str">
        <f t="shared" si="2"/>
        <v>Gorgonzola TelinoSUPRD</v>
      </c>
      <c r="I102" t="str">
        <f>_xlfn.CONCAT(C102:D102:E102:F102)</f>
        <v>297.5000</v>
      </c>
      <c r="J102">
        <f>AVERAGE(C102:D102:E102:F102)</f>
        <v>74.375</v>
      </c>
      <c r="K102">
        <f t="shared" si="3"/>
        <v>0</v>
      </c>
    </row>
    <row r="103" spans="1:11" x14ac:dyDescent="0.3">
      <c r="A103" s="5" t="s">
        <v>65</v>
      </c>
      <c r="B103" t="s">
        <v>63</v>
      </c>
      <c r="C103" s="1">
        <v>27</v>
      </c>
      <c r="D103" s="1">
        <v>0</v>
      </c>
      <c r="E103" s="1">
        <v>0</v>
      </c>
      <c r="F103" s="1">
        <v>0</v>
      </c>
      <c r="H103" t="str">
        <f t="shared" si="2"/>
        <v>Gorgonzola TelinoTOMSP</v>
      </c>
      <c r="I103" t="str">
        <f>_xlfn.CONCAT(C103:D103:E103:F103)</f>
        <v>27000</v>
      </c>
      <c r="J103">
        <f>AVERAGE(C103:D103:E103:F103)</f>
        <v>6.75</v>
      </c>
      <c r="K103">
        <f t="shared" si="3"/>
        <v>0</v>
      </c>
    </row>
    <row r="104" spans="1:11" x14ac:dyDescent="0.3">
      <c r="A104" s="5" t="s">
        <v>65</v>
      </c>
      <c r="B104" t="s">
        <v>70</v>
      </c>
      <c r="C104" s="1">
        <v>0</v>
      </c>
      <c r="D104" s="1">
        <v>250</v>
      </c>
      <c r="E104" s="1">
        <v>0</v>
      </c>
      <c r="F104" s="1">
        <v>0</v>
      </c>
      <c r="H104" t="str">
        <f t="shared" si="2"/>
        <v>Gorgonzola TelinoTORTU</v>
      </c>
      <c r="I104" t="str">
        <f>_xlfn.CONCAT(C104:D104:E104:F104)</f>
        <v>025000</v>
      </c>
      <c r="J104">
        <f>AVERAGE(C104:D104:E104:F104)</f>
        <v>62.5</v>
      </c>
      <c r="K104">
        <f t="shared" si="3"/>
        <v>0</v>
      </c>
    </row>
    <row r="105" spans="1:11" x14ac:dyDescent="0.3">
      <c r="A105" s="5" t="s">
        <v>65</v>
      </c>
      <c r="B105" t="s">
        <v>54</v>
      </c>
      <c r="C105" s="1">
        <v>0</v>
      </c>
      <c r="D105" s="1">
        <v>190</v>
      </c>
      <c r="E105" s="1">
        <v>0</v>
      </c>
      <c r="F105" s="1">
        <v>0</v>
      </c>
      <c r="H105" t="str">
        <f t="shared" si="2"/>
        <v>Gorgonzola TelinoTRADH</v>
      </c>
      <c r="I105" t="str">
        <f>_xlfn.CONCAT(C105:D105:E105:F105)</f>
        <v>019000</v>
      </c>
      <c r="J105">
        <f>AVERAGE(C105:D105:E105:F105)</f>
        <v>47.5</v>
      </c>
      <c r="K105">
        <f t="shared" si="3"/>
        <v>0</v>
      </c>
    </row>
    <row r="106" spans="1:11" x14ac:dyDescent="0.3">
      <c r="A106" s="5" t="s">
        <v>65</v>
      </c>
      <c r="B106" t="s">
        <v>71</v>
      </c>
      <c r="C106" s="1">
        <v>0</v>
      </c>
      <c r="D106" s="1">
        <v>0</v>
      </c>
      <c r="E106" s="1">
        <v>90</v>
      </c>
      <c r="F106" s="1">
        <v>0</v>
      </c>
      <c r="H106" t="str">
        <f t="shared" si="2"/>
        <v>Gorgonzola TelinoWANDK</v>
      </c>
      <c r="I106" t="str">
        <f>_xlfn.CONCAT(C106:D106:E106:F106)</f>
        <v>00900</v>
      </c>
      <c r="J106">
        <f>AVERAGE(C106:D106:E106:F106)</f>
        <v>22.5</v>
      </c>
      <c r="K106">
        <f t="shared" si="3"/>
        <v>0</v>
      </c>
    </row>
    <row r="107" spans="1:11" x14ac:dyDescent="0.3">
      <c r="A107" s="5" t="s">
        <v>65</v>
      </c>
      <c r="B107" t="s">
        <v>49</v>
      </c>
      <c r="C107" s="1">
        <v>0</v>
      </c>
      <c r="D107" s="1">
        <v>375</v>
      </c>
      <c r="E107" s="1">
        <v>0</v>
      </c>
      <c r="F107" s="1">
        <v>0</v>
      </c>
      <c r="H107" t="str">
        <f t="shared" si="2"/>
        <v>Gorgonzola TelinoWARTH</v>
      </c>
      <c r="I107" t="str">
        <f>_xlfn.CONCAT(C107:D107:E107:F107)</f>
        <v>037500</v>
      </c>
      <c r="J107">
        <f>AVERAGE(C107:D107:E107:F107)</f>
        <v>93.75</v>
      </c>
      <c r="K107">
        <f t="shared" si="3"/>
        <v>0</v>
      </c>
    </row>
    <row r="108" spans="1:11" x14ac:dyDescent="0.3">
      <c r="A108" s="5" t="s">
        <v>72</v>
      </c>
      <c r="B108" t="s">
        <v>45</v>
      </c>
      <c r="C108" s="1">
        <v>0</v>
      </c>
      <c r="D108" s="1">
        <v>0</v>
      </c>
      <c r="E108" s="1">
        <v>0</v>
      </c>
      <c r="F108" s="1">
        <v>750</v>
      </c>
      <c r="H108" t="str">
        <f t="shared" si="2"/>
        <v>Grandma's Boysenberry SpreadGOURL</v>
      </c>
      <c r="I108" t="str">
        <f>_xlfn.CONCAT(C108:D108:E108:F108)</f>
        <v>000750</v>
      </c>
      <c r="J108">
        <f>AVERAGE(C108:D108:E108:F108)</f>
        <v>187.5</v>
      </c>
      <c r="K108">
        <f t="shared" si="3"/>
        <v>0</v>
      </c>
    </row>
    <row r="109" spans="1:11" x14ac:dyDescent="0.3">
      <c r="A109" s="5" t="s">
        <v>72</v>
      </c>
      <c r="B109" t="s">
        <v>46</v>
      </c>
      <c r="C109" s="1">
        <v>0</v>
      </c>
      <c r="D109" s="1">
        <v>0</v>
      </c>
      <c r="E109" s="1">
        <v>1750</v>
      </c>
      <c r="F109" s="1">
        <v>0</v>
      </c>
      <c r="H109" t="str">
        <f t="shared" si="2"/>
        <v>Grandma's Boysenberry SpreadMEREP</v>
      </c>
      <c r="I109" t="str">
        <f>_xlfn.CONCAT(C109:D109:E109:F109)</f>
        <v>0017500</v>
      </c>
      <c r="J109">
        <f>AVERAGE(C109:D109:E109:F109)</f>
        <v>437.5</v>
      </c>
      <c r="K109">
        <f t="shared" si="3"/>
        <v>0</v>
      </c>
    </row>
    <row r="110" spans="1:11" x14ac:dyDescent="0.3">
      <c r="A110" s="5" t="s">
        <v>73</v>
      </c>
      <c r="B110" t="s">
        <v>7</v>
      </c>
      <c r="C110" s="1">
        <v>0</v>
      </c>
      <c r="D110" s="1">
        <v>586.5</v>
      </c>
      <c r="E110" s="1">
        <v>0</v>
      </c>
      <c r="F110" s="1">
        <v>0</v>
      </c>
      <c r="H110" t="str">
        <f t="shared" si="2"/>
        <v>Ipoh CoffeeANTON</v>
      </c>
      <c r="I110" t="str">
        <f>_xlfn.CONCAT(C110:D110:E110:F110)</f>
        <v>0586.500</v>
      </c>
      <c r="J110">
        <f>AVERAGE(C110:D110:E110:F110)</f>
        <v>146.625</v>
      </c>
      <c r="K110">
        <f t="shared" si="3"/>
        <v>0</v>
      </c>
    </row>
    <row r="111" spans="1:11" x14ac:dyDescent="0.3">
      <c r="A111" s="5" t="s">
        <v>73</v>
      </c>
      <c r="B111" t="s">
        <v>8</v>
      </c>
      <c r="C111" s="1">
        <v>0</v>
      </c>
      <c r="D111" s="1">
        <v>2760</v>
      </c>
      <c r="E111" s="1">
        <v>0</v>
      </c>
      <c r="F111" s="1">
        <v>0</v>
      </c>
      <c r="H111" t="str">
        <f t="shared" si="2"/>
        <v>Ipoh CoffeeBERGS</v>
      </c>
      <c r="I111" t="str">
        <f>_xlfn.CONCAT(C111:D111:E111:F111)</f>
        <v>0276000</v>
      </c>
      <c r="J111">
        <f>AVERAGE(C111:D111:E111:F111)</f>
        <v>690</v>
      </c>
      <c r="K111">
        <f t="shared" si="3"/>
        <v>0</v>
      </c>
    </row>
    <row r="112" spans="1:11" x14ac:dyDescent="0.3">
      <c r="A112" s="5" t="s">
        <v>73</v>
      </c>
      <c r="B112" t="s">
        <v>44</v>
      </c>
      <c r="C112" s="1">
        <v>110.4</v>
      </c>
      <c r="D112" s="1">
        <v>0</v>
      </c>
      <c r="E112" s="1">
        <v>0</v>
      </c>
      <c r="F112" s="1">
        <v>0</v>
      </c>
      <c r="H112" t="str">
        <f t="shared" si="2"/>
        <v>Ipoh CoffeeFURIB</v>
      </c>
      <c r="I112" t="str">
        <f>_xlfn.CONCAT(C112:D112:E112:F112)</f>
        <v>110.4000</v>
      </c>
      <c r="J112">
        <f>AVERAGE(C112:D112:E112:F112)</f>
        <v>27.6</v>
      </c>
      <c r="K112">
        <f t="shared" si="3"/>
        <v>0</v>
      </c>
    </row>
    <row r="113" spans="1:11" x14ac:dyDescent="0.3">
      <c r="A113" s="5" t="s">
        <v>73</v>
      </c>
      <c r="B113" t="s">
        <v>74</v>
      </c>
      <c r="C113" s="1">
        <v>552</v>
      </c>
      <c r="D113" s="1">
        <v>0</v>
      </c>
      <c r="E113" s="1">
        <v>0</v>
      </c>
      <c r="F113" s="1">
        <v>0</v>
      </c>
      <c r="H113" t="str">
        <f t="shared" si="2"/>
        <v>Ipoh CoffeeKOENE</v>
      </c>
      <c r="I113" t="str">
        <f>_xlfn.CONCAT(C113:D113:E113:F113)</f>
        <v>552000</v>
      </c>
      <c r="J113">
        <f>AVERAGE(C113:D113:E113:F113)</f>
        <v>138</v>
      </c>
      <c r="K113">
        <f t="shared" si="3"/>
        <v>0</v>
      </c>
    </row>
    <row r="114" spans="1:11" x14ac:dyDescent="0.3">
      <c r="A114" s="5" t="s">
        <v>73</v>
      </c>
      <c r="B114" t="s">
        <v>75</v>
      </c>
      <c r="C114" s="1">
        <v>0</v>
      </c>
      <c r="D114" s="1">
        <v>0</v>
      </c>
      <c r="E114" s="1">
        <v>0</v>
      </c>
      <c r="F114" s="1">
        <v>1035</v>
      </c>
      <c r="H114" t="str">
        <f t="shared" si="2"/>
        <v>Ipoh CoffeeMAISD</v>
      </c>
      <c r="I114" t="str">
        <f>_xlfn.CONCAT(C114:D114:E114:F114)</f>
        <v>0001035</v>
      </c>
      <c r="J114">
        <f>AVERAGE(C114:D114:E114:F114)</f>
        <v>258.75</v>
      </c>
      <c r="K114">
        <f t="shared" si="3"/>
        <v>0</v>
      </c>
    </row>
    <row r="115" spans="1:11" x14ac:dyDescent="0.3">
      <c r="A115" s="5" t="s">
        <v>73</v>
      </c>
      <c r="B115" t="s">
        <v>62</v>
      </c>
      <c r="C115" s="1">
        <v>0</v>
      </c>
      <c r="D115" s="1">
        <v>0</v>
      </c>
      <c r="E115" s="1">
        <v>0</v>
      </c>
      <c r="F115" s="1">
        <v>1104</v>
      </c>
      <c r="H115" t="str">
        <f t="shared" si="2"/>
        <v>Ipoh CoffeeOLDWO</v>
      </c>
      <c r="I115" t="str">
        <f>_xlfn.CONCAT(C115:D115:E115:F115)</f>
        <v>0001104</v>
      </c>
      <c r="J115">
        <f>AVERAGE(C115:D115:E115:F115)</f>
        <v>276</v>
      </c>
      <c r="K115">
        <f t="shared" si="3"/>
        <v>0</v>
      </c>
    </row>
    <row r="116" spans="1:11" x14ac:dyDescent="0.3">
      <c r="A116" s="5" t="s">
        <v>73</v>
      </c>
      <c r="B116" t="s">
        <v>14</v>
      </c>
      <c r="C116" s="1">
        <v>0</v>
      </c>
      <c r="D116" s="1">
        <v>1150</v>
      </c>
      <c r="E116" s="1">
        <v>0</v>
      </c>
      <c r="F116" s="1">
        <v>0</v>
      </c>
      <c r="H116" t="str">
        <f t="shared" si="2"/>
        <v>Ipoh CoffeePICCO</v>
      </c>
      <c r="I116" t="str">
        <f>_xlfn.CONCAT(C116:D116:E116:F116)</f>
        <v>0115000</v>
      </c>
      <c r="J116">
        <f>AVERAGE(C116:D116:E116:F116)</f>
        <v>287.5</v>
      </c>
      <c r="K116">
        <f t="shared" si="3"/>
        <v>0</v>
      </c>
    </row>
    <row r="117" spans="1:11" x14ac:dyDescent="0.3">
      <c r="A117" s="5" t="s">
        <v>73</v>
      </c>
      <c r="B117" t="s">
        <v>23</v>
      </c>
      <c r="C117" s="1">
        <v>0</v>
      </c>
      <c r="D117" s="1">
        <v>0</v>
      </c>
      <c r="E117" s="1">
        <v>0</v>
      </c>
      <c r="F117" s="1">
        <v>1840</v>
      </c>
      <c r="H117" t="str">
        <f t="shared" si="2"/>
        <v>Ipoh CoffeeQUICK</v>
      </c>
      <c r="I117" t="str">
        <f>_xlfn.CONCAT(C117:D117:E117:F117)</f>
        <v>0001840</v>
      </c>
      <c r="J117">
        <f>AVERAGE(C117:D117:E117:F117)</f>
        <v>460</v>
      </c>
      <c r="K117">
        <f t="shared" si="3"/>
        <v>0</v>
      </c>
    </row>
    <row r="118" spans="1:11" x14ac:dyDescent="0.3">
      <c r="A118" s="5" t="s">
        <v>73</v>
      </c>
      <c r="B118" t="s">
        <v>69</v>
      </c>
      <c r="C118" s="1">
        <v>736</v>
      </c>
      <c r="D118" s="1">
        <v>0</v>
      </c>
      <c r="E118" s="1">
        <v>0</v>
      </c>
      <c r="F118" s="1">
        <v>0</v>
      </c>
      <c r="H118" t="str">
        <f t="shared" si="2"/>
        <v>Ipoh CoffeeSUPRD</v>
      </c>
      <c r="I118" t="str">
        <f>_xlfn.CONCAT(C118:D118:E118:F118)</f>
        <v>736000</v>
      </c>
      <c r="J118">
        <f>AVERAGE(C118:D118:E118:F118)</f>
        <v>184</v>
      </c>
      <c r="K118">
        <f t="shared" si="3"/>
        <v>0</v>
      </c>
    </row>
    <row r="119" spans="1:11" x14ac:dyDescent="0.3">
      <c r="A119" s="5" t="s">
        <v>73</v>
      </c>
      <c r="B119" t="s">
        <v>76</v>
      </c>
      <c r="C119" s="1">
        <v>0</v>
      </c>
      <c r="D119" s="1">
        <v>0</v>
      </c>
      <c r="E119" s="1">
        <v>920</v>
      </c>
      <c r="F119" s="1">
        <v>0</v>
      </c>
      <c r="H119" t="str">
        <f t="shared" si="2"/>
        <v>Ipoh CoffeeWELLI</v>
      </c>
      <c r="I119" t="str">
        <f>_xlfn.CONCAT(C119:D119:E119:F119)</f>
        <v>009200</v>
      </c>
      <c r="J119">
        <f>AVERAGE(C119:D119:E119:F119)</f>
        <v>230</v>
      </c>
      <c r="K119">
        <f t="shared" si="3"/>
        <v>0</v>
      </c>
    </row>
    <row r="120" spans="1:11" x14ac:dyDescent="0.3">
      <c r="A120" s="5" t="s">
        <v>73</v>
      </c>
      <c r="B120" t="s">
        <v>77</v>
      </c>
      <c r="C120" s="1">
        <v>0</v>
      </c>
      <c r="D120" s="1">
        <v>0</v>
      </c>
      <c r="E120" s="1">
        <v>276</v>
      </c>
      <c r="F120" s="1">
        <v>0</v>
      </c>
      <c r="H120" t="str">
        <f t="shared" si="2"/>
        <v>Ipoh CoffeeWILMK</v>
      </c>
      <c r="I120" t="str">
        <f>_xlfn.CONCAT(C120:D120:E120:F120)</f>
        <v>002760</v>
      </c>
      <c r="J120">
        <f>AVERAGE(C120:D120:E120:F120)</f>
        <v>69</v>
      </c>
      <c r="K120">
        <f t="shared" si="3"/>
        <v>0</v>
      </c>
    </row>
    <row r="121" spans="1:11" x14ac:dyDescent="0.3">
      <c r="A121" s="5" t="s">
        <v>78</v>
      </c>
      <c r="B121" t="s">
        <v>40</v>
      </c>
      <c r="C121" s="1">
        <v>0</v>
      </c>
      <c r="D121" s="1">
        <v>0</v>
      </c>
      <c r="E121" s="1">
        <v>0</v>
      </c>
      <c r="F121" s="1">
        <v>135.1</v>
      </c>
      <c r="H121" t="str">
        <f t="shared" si="2"/>
        <v>Jack's New England Clam ChowderAROUT</v>
      </c>
      <c r="I121" t="str">
        <f>_xlfn.CONCAT(C121:D121:E121:F121)</f>
        <v>000135.1</v>
      </c>
      <c r="J121">
        <f>AVERAGE(C121:D121:E121:F121)</f>
        <v>33.774999999999999</v>
      </c>
      <c r="K121">
        <f t="shared" si="3"/>
        <v>0</v>
      </c>
    </row>
    <row r="122" spans="1:11" x14ac:dyDescent="0.3">
      <c r="A122" s="5" t="s">
        <v>78</v>
      </c>
      <c r="B122" t="s">
        <v>8</v>
      </c>
      <c r="C122" s="1">
        <v>231</v>
      </c>
      <c r="D122" s="1">
        <v>0</v>
      </c>
      <c r="E122" s="1">
        <v>0</v>
      </c>
      <c r="F122" s="1">
        <v>96.5</v>
      </c>
      <c r="H122" t="str">
        <f t="shared" si="2"/>
        <v>Jack's New England Clam ChowderBERGS</v>
      </c>
      <c r="I122" t="str">
        <f>_xlfn.CONCAT(C122:D122:E122:F122)</f>
        <v>2310096.5</v>
      </c>
      <c r="J122">
        <f>AVERAGE(C122:D122:E122:F122)</f>
        <v>81.875</v>
      </c>
      <c r="K122">
        <f t="shared" si="3"/>
        <v>0</v>
      </c>
    </row>
    <row r="123" spans="1:11" x14ac:dyDescent="0.3">
      <c r="A123" s="5" t="s">
        <v>78</v>
      </c>
      <c r="B123" t="s">
        <v>58</v>
      </c>
      <c r="C123" s="1">
        <v>0</v>
      </c>
      <c r="D123" s="1">
        <v>110.01</v>
      </c>
      <c r="E123" s="1">
        <v>0</v>
      </c>
      <c r="F123" s="1">
        <v>0</v>
      </c>
      <c r="H123" t="str">
        <f t="shared" si="2"/>
        <v>Jack's New England Clam ChowderBLONP</v>
      </c>
      <c r="I123" t="str">
        <f>_xlfn.CONCAT(C123:D123:E123:F123)</f>
        <v>0110.0100</v>
      </c>
      <c r="J123">
        <f>AVERAGE(C123:D123:E123:F123)</f>
        <v>27.502500000000001</v>
      </c>
      <c r="K123">
        <f t="shared" si="3"/>
        <v>0</v>
      </c>
    </row>
    <row r="124" spans="1:11" x14ac:dyDescent="0.3">
      <c r="A124" s="5" t="s">
        <v>78</v>
      </c>
      <c r="B124" t="s">
        <v>10</v>
      </c>
      <c r="C124" s="1">
        <v>154</v>
      </c>
      <c r="D124" s="1">
        <v>0</v>
      </c>
      <c r="E124" s="1">
        <v>0</v>
      </c>
      <c r="F124" s="1">
        <v>0</v>
      </c>
      <c r="H124" t="str">
        <f t="shared" si="2"/>
        <v>Jack's New England Clam ChowderBOTTM</v>
      </c>
      <c r="I124" t="str">
        <f>_xlfn.CONCAT(C124:D124:E124:F124)</f>
        <v>154000</v>
      </c>
      <c r="J124">
        <f>AVERAGE(C124:D124:E124:F124)</f>
        <v>38.5</v>
      </c>
      <c r="K124">
        <f t="shared" si="3"/>
        <v>0</v>
      </c>
    </row>
    <row r="125" spans="1:11" x14ac:dyDescent="0.3">
      <c r="A125" s="5" t="s">
        <v>78</v>
      </c>
      <c r="B125" t="s">
        <v>66</v>
      </c>
      <c r="C125" s="1">
        <v>0</v>
      </c>
      <c r="D125" s="1">
        <v>96.5</v>
      </c>
      <c r="E125" s="1">
        <v>0</v>
      </c>
      <c r="F125" s="1">
        <v>0</v>
      </c>
      <c r="H125" t="str">
        <f t="shared" si="2"/>
        <v>Jack's New England Clam ChowderCACTU</v>
      </c>
      <c r="I125" t="str">
        <f>_xlfn.CONCAT(C125:D125:E125:F125)</f>
        <v>096.500</v>
      </c>
      <c r="J125">
        <f>AVERAGE(C125:D125:E125:F125)</f>
        <v>24.125</v>
      </c>
      <c r="K125">
        <f t="shared" si="3"/>
        <v>0</v>
      </c>
    </row>
    <row r="126" spans="1:11" x14ac:dyDescent="0.3">
      <c r="A126" s="5" t="s">
        <v>78</v>
      </c>
      <c r="B126" t="s">
        <v>42</v>
      </c>
      <c r="C126" s="1">
        <v>0</v>
      </c>
      <c r="D126" s="1">
        <v>0</v>
      </c>
      <c r="E126" s="1">
        <v>0</v>
      </c>
      <c r="F126" s="1">
        <v>115.8</v>
      </c>
      <c r="H126" t="str">
        <f t="shared" si="2"/>
        <v>Jack's New England Clam ChowderFAMIA</v>
      </c>
      <c r="I126" t="str">
        <f>_xlfn.CONCAT(C126:D126:E126:F126)</f>
        <v>000115.8</v>
      </c>
      <c r="J126">
        <f>AVERAGE(C126:D126:E126:F126)</f>
        <v>28.95</v>
      </c>
      <c r="K126">
        <f t="shared" si="3"/>
        <v>0</v>
      </c>
    </row>
    <row r="127" spans="1:11" x14ac:dyDescent="0.3">
      <c r="A127" s="5" t="s">
        <v>78</v>
      </c>
      <c r="B127" t="s">
        <v>43</v>
      </c>
      <c r="C127" s="1">
        <v>0</v>
      </c>
      <c r="D127" s="1">
        <v>0</v>
      </c>
      <c r="E127" s="1">
        <v>0</v>
      </c>
      <c r="F127" s="1">
        <v>183.35</v>
      </c>
      <c r="H127" t="str">
        <f t="shared" si="2"/>
        <v>Jack's New England Clam ChowderFRANK</v>
      </c>
      <c r="I127" t="str">
        <f>_xlfn.CONCAT(C127:D127:E127:F127)</f>
        <v>000183.35</v>
      </c>
      <c r="J127">
        <f>AVERAGE(C127:D127:E127:F127)</f>
        <v>45.837499999999999</v>
      </c>
      <c r="K127">
        <f t="shared" si="3"/>
        <v>0</v>
      </c>
    </row>
    <row r="128" spans="1:11" x14ac:dyDescent="0.3">
      <c r="A128" s="5" t="s">
        <v>78</v>
      </c>
      <c r="B128" t="s">
        <v>45</v>
      </c>
      <c r="C128" s="1">
        <v>0</v>
      </c>
      <c r="D128" s="1">
        <v>0</v>
      </c>
      <c r="E128" s="1">
        <v>38.6</v>
      </c>
      <c r="F128" s="1">
        <v>0</v>
      </c>
      <c r="H128" t="str">
        <f t="shared" si="2"/>
        <v>Jack's New England Clam ChowderGOURL</v>
      </c>
      <c r="I128" t="str">
        <f>_xlfn.CONCAT(C128:D128:E128:F128)</f>
        <v>0038.60</v>
      </c>
      <c r="J128">
        <f>AVERAGE(C128:D128:E128:F128)</f>
        <v>9.65</v>
      </c>
      <c r="K128">
        <f t="shared" si="3"/>
        <v>0</v>
      </c>
    </row>
    <row r="129" spans="1:11" x14ac:dyDescent="0.3">
      <c r="A129" s="5" t="s">
        <v>78</v>
      </c>
      <c r="B129" t="s">
        <v>68</v>
      </c>
      <c r="C129" s="1">
        <v>0</v>
      </c>
      <c r="D129" s="1">
        <v>694.8</v>
      </c>
      <c r="E129" s="1">
        <v>0</v>
      </c>
      <c r="F129" s="1">
        <v>0</v>
      </c>
      <c r="H129" t="str">
        <f t="shared" si="2"/>
        <v>Jack's New England Clam ChowderHUNGO</v>
      </c>
      <c r="I129" t="str">
        <f>_xlfn.CONCAT(C129:D129:E129:F129)</f>
        <v>0694.800</v>
      </c>
      <c r="J129">
        <f>AVERAGE(C129:D129:E129:F129)</f>
        <v>173.7</v>
      </c>
      <c r="K129">
        <f t="shared" si="3"/>
        <v>0</v>
      </c>
    </row>
    <row r="130" spans="1:11" x14ac:dyDescent="0.3">
      <c r="A130" s="5" t="s">
        <v>78</v>
      </c>
      <c r="B130" t="s">
        <v>60</v>
      </c>
      <c r="C130" s="1">
        <v>0</v>
      </c>
      <c r="D130" s="1">
        <v>154</v>
      </c>
      <c r="E130" s="1">
        <v>0</v>
      </c>
      <c r="F130" s="1">
        <v>0</v>
      </c>
      <c r="H130" t="str">
        <f t="shared" ref="H130:H193" si="4">_xlfn.CONCAT(A130:B130)</f>
        <v>Jack's New England Clam ChowderLAUGB</v>
      </c>
      <c r="I130" t="str">
        <f>_xlfn.CONCAT(C130:D130:E130:F130)</f>
        <v>015400</v>
      </c>
      <c r="J130">
        <f>AVERAGE(C130:D130:E130:F130)</f>
        <v>38.5</v>
      </c>
      <c r="K130">
        <f t="shared" si="3"/>
        <v>0</v>
      </c>
    </row>
    <row r="131" spans="1:11" x14ac:dyDescent="0.3">
      <c r="A131" s="5" t="s">
        <v>78</v>
      </c>
      <c r="B131" t="s">
        <v>33</v>
      </c>
      <c r="C131" s="1">
        <v>0</v>
      </c>
      <c r="D131" s="1">
        <v>82.51</v>
      </c>
      <c r="E131" s="1">
        <v>0</v>
      </c>
      <c r="F131" s="1">
        <v>0</v>
      </c>
      <c r="H131" t="str">
        <f t="shared" si="4"/>
        <v>Jack's New England Clam ChowderOTTIK</v>
      </c>
      <c r="I131" t="str">
        <f>_xlfn.CONCAT(C131:D131:E131:F131)</f>
        <v>082.5100</v>
      </c>
      <c r="J131">
        <f>AVERAGE(C131:D131:E131:F131)</f>
        <v>20.627500000000001</v>
      </c>
      <c r="K131">
        <f t="shared" ref="K131:K194" si="5">C131*D131*E131*F131</f>
        <v>0</v>
      </c>
    </row>
    <row r="132" spans="1:11" x14ac:dyDescent="0.3">
      <c r="A132" s="5" t="s">
        <v>78</v>
      </c>
      <c r="B132" t="s">
        <v>14</v>
      </c>
      <c r="C132" s="1">
        <v>0</v>
      </c>
      <c r="D132" s="1">
        <v>0</v>
      </c>
      <c r="E132" s="1">
        <v>0</v>
      </c>
      <c r="F132" s="1">
        <v>337.75</v>
      </c>
      <c r="H132" t="str">
        <f t="shared" si="4"/>
        <v>Jack's New England Clam ChowderPICCO</v>
      </c>
      <c r="I132" t="str">
        <f>_xlfn.CONCAT(C132:D132:E132:F132)</f>
        <v>000337.75</v>
      </c>
      <c r="J132">
        <f>AVERAGE(C132:D132:E132:F132)</f>
        <v>84.4375</v>
      </c>
      <c r="K132">
        <f t="shared" si="5"/>
        <v>0</v>
      </c>
    </row>
    <row r="133" spans="1:11" x14ac:dyDescent="0.3">
      <c r="A133" s="5" t="s">
        <v>78</v>
      </c>
      <c r="B133" t="s">
        <v>16</v>
      </c>
      <c r="C133" s="1">
        <v>0</v>
      </c>
      <c r="D133" s="1">
        <v>0</v>
      </c>
      <c r="E133" s="1">
        <v>154.4</v>
      </c>
      <c r="F133" s="1">
        <v>0</v>
      </c>
      <c r="H133" t="str">
        <f t="shared" si="4"/>
        <v>Jack's New England Clam ChowderREGGC</v>
      </c>
      <c r="I133" t="str">
        <f>_xlfn.CONCAT(C133:D133:E133:F133)</f>
        <v>00154.40</v>
      </c>
      <c r="J133">
        <f>AVERAGE(C133:D133:E133:F133)</f>
        <v>38.6</v>
      </c>
      <c r="K133">
        <f t="shared" si="5"/>
        <v>0</v>
      </c>
    </row>
    <row r="134" spans="1:11" x14ac:dyDescent="0.3">
      <c r="A134" s="5" t="s">
        <v>78</v>
      </c>
      <c r="B134" t="s">
        <v>17</v>
      </c>
      <c r="C134" s="1">
        <v>0</v>
      </c>
      <c r="D134" s="1">
        <v>0</v>
      </c>
      <c r="E134" s="1">
        <v>1389.6</v>
      </c>
      <c r="F134" s="1">
        <v>405.3</v>
      </c>
      <c r="H134" t="str">
        <f t="shared" si="4"/>
        <v>Jack's New England Clam ChowderSAVEA</v>
      </c>
      <c r="I134" t="str">
        <f>_xlfn.CONCAT(C134:D134:E134:F134)</f>
        <v>001389.6405.3</v>
      </c>
      <c r="J134">
        <f>AVERAGE(C134:D134:E134:F134)</f>
        <v>448.72499999999997</v>
      </c>
      <c r="K134">
        <f t="shared" si="5"/>
        <v>0</v>
      </c>
    </row>
    <row r="135" spans="1:11" x14ac:dyDescent="0.3">
      <c r="A135" s="5" t="s">
        <v>78</v>
      </c>
      <c r="B135" t="s">
        <v>18</v>
      </c>
      <c r="C135" s="1">
        <v>0</v>
      </c>
      <c r="D135" s="1">
        <v>52.11</v>
      </c>
      <c r="E135" s="1">
        <v>0</v>
      </c>
      <c r="F135" s="1">
        <v>0</v>
      </c>
      <c r="H135" t="str">
        <f t="shared" si="4"/>
        <v>Jack's New England Clam ChowderSEVES</v>
      </c>
      <c r="I135" t="str">
        <f>_xlfn.CONCAT(C135:D135:E135:F135)</f>
        <v>052.1100</v>
      </c>
      <c r="J135">
        <f>AVERAGE(C135:D135:E135:F135)</f>
        <v>13.0275</v>
      </c>
      <c r="K135">
        <f t="shared" si="5"/>
        <v>0</v>
      </c>
    </row>
    <row r="136" spans="1:11" x14ac:dyDescent="0.3">
      <c r="A136" s="5" t="s">
        <v>78</v>
      </c>
      <c r="B136" t="s">
        <v>63</v>
      </c>
      <c r="C136" s="1">
        <v>0</v>
      </c>
      <c r="D136" s="1">
        <v>135.1</v>
      </c>
      <c r="E136" s="1">
        <v>0</v>
      </c>
      <c r="F136" s="1">
        <v>0</v>
      </c>
      <c r="H136" t="str">
        <f t="shared" si="4"/>
        <v>Jack's New England Clam ChowderTOMSP</v>
      </c>
      <c r="I136" t="str">
        <f>_xlfn.CONCAT(C136:D136:E136:F136)</f>
        <v>0135.100</v>
      </c>
      <c r="J136">
        <f>AVERAGE(C136:D136:E136:F136)</f>
        <v>33.774999999999999</v>
      </c>
      <c r="K136">
        <f t="shared" si="5"/>
        <v>0</v>
      </c>
    </row>
    <row r="137" spans="1:11" x14ac:dyDescent="0.3">
      <c r="A137" s="5" t="s">
        <v>78</v>
      </c>
      <c r="B137" t="s">
        <v>24</v>
      </c>
      <c r="C137" s="1">
        <v>0</v>
      </c>
      <c r="D137" s="1">
        <v>0</v>
      </c>
      <c r="E137" s="1">
        <v>0</v>
      </c>
      <c r="F137" s="1">
        <v>275.02</v>
      </c>
      <c r="H137" t="str">
        <f t="shared" si="4"/>
        <v>Jack's New England Clam ChowderVAFFE</v>
      </c>
      <c r="I137" t="str">
        <f>_xlfn.CONCAT(C137:D137:E137:F137)</f>
        <v>000275.02</v>
      </c>
      <c r="J137">
        <f>AVERAGE(C137:D137:E137:F137)</f>
        <v>68.754999999999995</v>
      </c>
      <c r="K137">
        <f t="shared" si="5"/>
        <v>0</v>
      </c>
    </row>
    <row r="138" spans="1:11" x14ac:dyDescent="0.3">
      <c r="A138" s="5" t="s">
        <v>78</v>
      </c>
      <c r="B138" t="s">
        <v>64</v>
      </c>
      <c r="C138" s="1">
        <v>0</v>
      </c>
      <c r="D138" s="1">
        <v>0</v>
      </c>
      <c r="E138" s="1">
        <v>0</v>
      </c>
      <c r="F138" s="1">
        <v>115.8</v>
      </c>
      <c r="H138" t="str">
        <f t="shared" si="4"/>
        <v>Jack's New England Clam ChowderVINET</v>
      </c>
      <c r="I138" t="str">
        <f>_xlfn.CONCAT(C138:D138:E138:F138)</f>
        <v>000115.8</v>
      </c>
      <c r="J138">
        <f>AVERAGE(C138:D138:E138:F138)</f>
        <v>28.95</v>
      </c>
      <c r="K138">
        <f t="shared" si="5"/>
        <v>0</v>
      </c>
    </row>
    <row r="139" spans="1:11" x14ac:dyDescent="0.3">
      <c r="A139" s="5" t="s">
        <v>79</v>
      </c>
      <c r="B139" t="s">
        <v>43</v>
      </c>
      <c r="C139" s="1">
        <v>0</v>
      </c>
      <c r="D139" s="1">
        <v>0</v>
      </c>
      <c r="E139" s="1">
        <v>350</v>
      </c>
      <c r="F139" s="1">
        <v>0</v>
      </c>
      <c r="H139" t="str">
        <f t="shared" si="4"/>
        <v>Laughing Lumberjack LagerFRANK</v>
      </c>
      <c r="I139" t="str">
        <f>_xlfn.CONCAT(C139:D139:E139:F139)</f>
        <v>003500</v>
      </c>
      <c r="J139">
        <f>AVERAGE(C139:D139:E139:F139)</f>
        <v>87.5</v>
      </c>
      <c r="K139">
        <f t="shared" si="5"/>
        <v>0</v>
      </c>
    </row>
    <row r="140" spans="1:11" x14ac:dyDescent="0.3">
      <c r="A140" s="5" t="s">
        <v>79</v>
      </c>
      <c r="B140" t="s">
        <v>80</v>
      </c>
      <c r="C140" s="1">
        <v>0</v>
      </c>
      <c r="D140" s="1">
        <v>98</v>
      </c>
      <c r="E140" s="1">
        <v>0</v>
      </c>
      <c r="F140" s="1">
        <v>0</v>
      </c>
      <c r="H140" t="str">
        <f t="shared" si="4"/>
        <v>Laughing Lumberjack LagerLONEP</v>
      </c>
      <c r="I140" t="str">
        <f>_xlfn.CONCAT(C140:D140:E140:F140)</f>
        <v>09800</v>
      </c>
      <c r="J140">
        <f>AVERAGE(C140:D140:E140:F140)</f>
        <v>24.5</v>
      </c>
      <c r="K140">
        <f t="shared" si="5"/>
        <v>0</v>
      </c>
    </row>
    <row r="141" spans="1:11" x14ac:dyDescent="0.3">
      <c r="A141" s="5" t="s">
        <v>79</v>
      </c>
      <c r="B141" t="s">
        <v>34</v>
      </c>
      <c r="C141" s="1">
        <v>0</v>
      </c>
      <c r="D141" s="1">
        <v>420</v>
      </c>
      <c r="E141" s="1">
        <v>0</v>
      </c>
      <c r="F141" s="1">
        <v>0</v>
      </c>
      <c r="H141" t="str">
        <f t="shared" si="4"/>
        <v>Laughing Lumberjack LagerPERIC</v>
      </c>
      <c r="I141" t="str">
        <f>_xlfn.CONCAT(C141:D141:E141:F141)</f>
        <v>042000</v>
      </c>
      <c r="J141">
        <f>AVERAGE(C141:D141:E141:F141)</f>
        <v>105</v>
      </c>
      <c r="K141">
        <f t="shared" si="5"/>
        <v>0</v>
      </c>
    </row>
    <row r="142" spans="1:11" x14ac:dyDescent="0.3">
      <c r="A142" s="5" t="s">
        <v>79</v>
      </c>
      <c r="B142" t="s">
        <v>81</v>
      </c>
      <c r="C142" s="1">
        <v>0</v>
      </c>
      <c r="D142" s="1">
        <v>0</v>
      </c>
      <c r="E142" s="1">
        <v>0</v>
      </c>
      <c r="F142" s="1">
        <v>42</v>
      </c>
      <c r="H142" t="str">
        <f t="shared" si="4"/>
        <v>Laughing Lumberjack LagerTHECR</v>
      </c>
      <c r="I142" t="str">
        <f>_xlfn.CONCAT(C142:D142:E142:F142)</f>
        <v>00042</v>
      </c>
      <c r="J142">
        <f>AVERAGE(C142:D142:E142:F142)</f>
        <v>10.5</v>
      </c>
      <c r="K142">
        <f t="shared" si="5"/>
        <v>0</v>
      </c>
    </row>
    <row r="143" spans="1:11" x14ac:dyDescent="0.3">
      <c r="A143" s="5" t="s">
        <v>82</v>
      </c>
      <c r="B143" t="s">
        <v>28</v>
      </c>
      <c r="C143" s="1">
        <v>0</v>
      </c>
      <c r="D143" s="1">
        <v>0</v>
      </c>
      <c r="E143" s="1">
        <v>0</v>
      </c>
      <c r="F143" s="1">
        <v>50</v>
      </c>
      <c r="H143" t="str">
        <f t="shared" si="4"/>
        <v>Longlife TofuFRANS</v>
      </c>
      <c r="I143" t="str">
        <f>_xlfn.CONCAT(C143:D143:E143:F143)</f>
        <v>00050</v>
      </c>
      <c r="J143">
        <f>AVERAGE(C143:D143:E143:F143)</f>
        <v>12.5</v>
      </c>
      <c r="K143">
        <f t="shared" si="5"/>
        <v>0</v>
      </c>
    </row>
    <row r="144" spans="1:11" x14ac:dyDescent="0.3">
      <c r="A144" s="5" t="s">
        <v>82</v>
      </c>
      <c r="B144" t="s">
        <v>29</v>
      </c>
      <c r="C144" s="1">
        <v>128</v>
      </c>
      <c r="D144" s="1">
        <v>0</v>
      </c>
      <c r="E144" s="1">
        <v>0</v>
      </c>
      <c r="F144" s="1">
        <v>0</v>
      </c>
      <c r="H144" t="str">
        <f t="shared" si="4"/>
        <v>Longlife TofuHILAA</v>
      </c>
      <c r="I144" t="str">
        <f>_xlfn.CONCAT(C144:D144:E144:F144)</f>
        <v>128000</v>
      </c>
      <c r="J144">
        <f>AVERAGE(C144:D144:E144:F144)</f>
        <v>32</v>
      </c>
      <c r="K144">
        <f t="shared" si="5"/>
        <v>0</v>
      </c>
    </row>
    <row r="145" spans="1:11" x14ac:dyDescent="0.3">
      <c r="A145" s="5" t="s">
        <v>82</v>
      </c>
      <c r="B145" t="s">
        <v>46</v>
      </c>
      <c r="C145" s="1">
        <v>240</v>
      </c>
      <c r="D145" s="1">
        <v>0</v>
      </c>
      <c r="E145" s="1">
        <v>0</v>
      </c>
      <c r="F145" s="1">
        <v>0</v>
      </c>
      <c r="H145" t="str">
        <f t="shared" si="4"/>
        <v>Longlife TofuMEREP</v>
      </c>
      <c r="I145" t="str">
        <f>_xlfn.CONCAT(C145:D145:E145:F145)</f>
        <v>240000</v>
      </c>
      <c r="J145">
        <f>AVERAGE(C145:D145:E145:F145)</f>
        <v>60</v>
      </c>
      <c r="K145">
        <f t="shared" si="5"/>
        <v>0</v>
      </c>
    </row>
    <row r="146" spans="1:11" x14ac:dyDescent="0.3">
      <c r="A146" s="5" t="s">
        <v>82</v>
      </c>
      <c r="B146" t="s">
        <v>23</v>
      </c>
      <c r="C146" s="1">
        <v>120</v>
      </c>
      <c r="D146" s="1">
        <v>0</v>
      </c>
      <c r="E146" s="1">
        <v>0</v>
      </c>
      <c r="F146" s="1">
        <v>0</v>
      </c>
      <c r="H146" t="str">
        <f t="shared" si="4"/>
        <v>Longlife TofuQUICK</v>
      </c>
      <c r="I146" t="str">
        <f>_xlfn.CONCAT(C146:D146:E146:F146)</f>
        <v>120000</v>
      </c>
      <c r="J146">
        <f>AVERAGE(C146:D146:E146:F146)</f>
        <v>30</v>
      </c>
      <c r="K146">
        <f t="shared" si="5"/>
        <v>0</v>
      </c>
    </row>
    <row r="147" spans="1:11" x14ac:dyDescent="0.3">
      <c r="A147" s="5" t="s">
        <v>82</v>
      </c>
      <c r="B147" t="s">
        <v>83</v>
      </c>
      <c r="C147" s="1">
        <v>0</v>
      </c>
      <c r="D147" s="1">
        <v>0</v>
      </c>
      <c r="E147" s="1">
        <v>0</v>
      </c>
      <c r="F147" s="1">
        <v>112.5</v>
      </c>
      <c r="H147" t="str">
        <f t="shared" si="4"/>
        <v>Longlife TofuVICTE</v>
      </c>
      <c r="I147" t="str">
        <f>_xlfn.CONCAT(C147:D147:E147:F147)</f>
        <v>000112.5</v>
      </c>
      <c r="J147">
        <f>AVERAGE(C147:D147:E147:F147)</f>
        <v>28.125</v>
      </c>
      <c r="K147">
        <f t="shared" si="5"/>
        <v>0</v>
      </c>
    </row>
    <row r="148" spans="1:11" x14ac:dyDescent="0.3">
      <c r="A148" s="5" t="s">
        <v>82</v>
      </c>
      <c r="B148" t="s">
        <v>49</v>
      </c>
      <c r="C148" s="1">
        <v>0</v>
      </c>
      <c r="D148" s="1">
        <v>0</v>
      </c>
      <c r="E148" s="1">
        <v>0</v>
      </c>
      <c r="F148" s="1">
        <v>350</v>
      </c>
      <c r="H148" t="str">
        <f t="shared" si="4"/>
        <v>Longlife TofuWARTH</v>
      </c>
      <c r="I148" t="str">
        <f>_xlfn.CONCAT(C148:D148:E148:F148)</f>
        <v>000350</v>
      </c>
      <c r="J148">
        <f>AVERAGE(C148:D148:E148:F148)</f>
        <v>87.5</v>
      </c>
      <c r="K148">
        <f t="shared" si="5"/>
        <v>0</v>
      </c>
    </row>
    <row r="149" spans="1:11" x14ac:dyDescent="0.3">
      <c r="A149" s="5" t="s">
        <v>84</v>
      </c>
      <c r="B149" t="s">
        <v>26</v>
      </c>
      <c r="C149" s="1">
        <v>0</v>
      </c>
      <c r="D149" s="1">
        <v>0</v>
      </c>
      <c r="E149" s="1">
        <v>0</v>
      </c>
      <c r="F149" s="1">
        <v>199.97</v>
      </c>
      <c r="H149" t="str">
        <f t="shared" si="4"/>
        <v>Louisiana Fiery Hot Pepper SauceBONAP</v>
      </c>
      <c r="I149" t="str">
        <f>_xlfn.CONCAT(C149:D149:E149:F149)</f>
        <v>000199.97</v>
      </c>
      <c r="J149">
        <f>AVERAGE(C149:D149:E149:F149)</f>
        <v>49.9925</v>
      </c>
      <c r="K149">
        <f t="shared" si="5"/>
        <v>0</v>
      </c>
    </row>
    <row r="150" spans="1:11" x14ac:dyDescent="0.3">
      <c r="A150" s="5" t="s">
        <v>84</v>
      </c>
      <c r="B150" t="s">
        <v>11</v>
      </c>
      <c r="C150" s="1">
        <v>0</v>
      </c>
      <c r="D150" s="1">
        <v>820.95</v>
      </c>
      <c r="E150" s="1">
        <v>0</v>
      </c>
      <c r="F150" s="1">
        <v>1299.8399999999999</v>
      </c>
      <c r="H150" t="str">
        <f t="shared" si="4"/>
        <v>Louisiana Fiery Hot Pepper SauceERNSH</v>
      </c>
      <c r="I150" t="str">
        <f>_xlfn.CONCAT(C150:D150:E150:F150)</f>
        <v>0820.9501299.84</v>
      </c>
      <c r="J150">
        <f>AVERAGE(C150:D150:E150:F150)</f>
        <v>530.19749999999999</v>
      </c>
      <c r="K150">
        <f t="shared" si="5"/>
        <v>0</v>
      </c>
    </row>
    <row r="151" spans="1:11" x14ac:dyDescent="0.3">
      <c r="A151" s="5" t="s">
        <v>84</v>
      </c>
      <c r="B151" t="s">
        <v>85</v>
      </c>
      <c r="C151" s="1">
        <v>0</v>
      </c>
      <c r="D151" s="1">
        <v>0</v>
      </c>
      <c r="E151" s="1">
        <v>252.6</v>
      </c>
      <c r="F151" s="1">
        <v>0</v>
      </c>
      <c r="H151" t="str">
        <f t="shared" si="4"/>
        <v>Louisiana Fiery Hot Pepper SauceFRANR</v>
      </c>
      <c r="I151" t="str">
        <f>_xlfn.CONCAT(C151:D151:E151:F151)</f>
        <v>00252.60</v>
      </c>
      <c r="J151">
        <f>AVERAGE(C151:D151:E151:F151)</f>
        <v>63.15</v>
      </c>
      <c r="K151">
        <f t="shared" si="5"/>
        <v>0</v>
      </c>
    </row>
    <row r="152" spans="1:11" x14ac:dyDescent="0.3">
      <c r="A152" s="5" t="s">
        <v>84</v>
      </c>
      <c r="B152" t="s">
        <v>44</v>
      </c>
      <c r="C152" s="1">
        <v>0</v>
      </c>
      <c r="D152" s="1">
        <v>0</v>
      </c>
      <c r="E152" s="1">
        <v>268.39</v>
      </c>
      <c r="F152" s="1">
        <v>0</v>
      </c>
      <c r="H152" t="str">
        <f t="shared" si="4"/>
        <v>Louisiana Fiery Hot Pepper SauceFURIB</v>
      </c>
      <c r="I152" t="str">
        <f>_xlfn.CONCAT(C152:D152:E152:F152)</f>
        <v>00268.390</v>
      </c>
      <c r="J152">
        <f>AVERAGE(C152:D152:E152:F152)</f>
        <v>67.097499999999997</v>
      </c>
      <c r="K152">
        <f t="shared" si="5"/>
        <v>0</v>
      </c>
    </row>
    <row r="153" spans="1:11" x14ac:dyDescent="0.3">
      <c r="A153" s="5" t="s">
        <v>84</v>
      </c>
      <c r="B153" t="s">
        <v>67</v>
      </c>
      <c r="C153" s="1">
        <v>0</v>
      </c>
      <c r="D153" s="1">
        <v>682.02</v>
      </c>
      <c r="E153" s="1">
        <v>0</v>
      </c>
      <c r="F153" s="1">
        <v>0</v>
      </c>
      <c r="H153" t="str">
        <f t="shared" si="4"/>
        <v>Louisiana Fiery Hot Pepper SauceHANAR</v>
      </c>
      <c r="I153" t="str">
        <f>_xlfn.CONCAT(C153:D153:E153:F153)</f>
        <v>0682.0200</v>
      </c>
      <c r="J153">
        <f>AVERAGE(C153:D153:E153:F153)</f>
        <v>170.505</v>
      </c>
      <c r="K153">
        <f t="shared" si="5"/>
        <v>0</v>
      </c>
    </row>
    <row r="154" spans="1:11" x14ac:dyDescent="0.3">
      <c r="A154" s="5" t="s">
        <v>84</v>
      </c>
      <c r="B154" t="s">
        <v>68</v>
      </c>
      <c r="C154" s="1">
        <v>0</v>
      </c>
      <c r="D154" s="1">
        <v>421</v>
      </c>
      <c r="E154" s="1">
        <v>0</v>
      </c>
      <c r="F154" s="1">
        <v>842</v>
      </c>
      <c r="H154" t="str">
        <f t="shared" si="4"/>
        <v>Louisiana Fiery Hot Pepper SauceHUNGO</v>
      </c>
      <c r="I154" t="str">
        <f>_xlfn.CONCAT(C154:D154:E154:F154)</f>
        <v>04210842</v>
      </c>
      <c r="J154">
        <f>AVERAGE(C154:D154:E154:F154)</f>
        <v>315.75</v>
      </c>
      <c r="K154">
        <f t="shared" si="5"/>
        <v>0</v>
      </c>
    </row>
    <row r="155" spans="1:11" x14ac:dyDescent="0.3">
      <c r="A155" s="5" t="s">
        <v>84</v>
      </c>
      <c r="B155" t="s">
        <v>86</v>
      </c>
      <c r="C155" s="1">
        <v>0</v>
      </c>
      <c r="D155" s="1">
        <v>226.8</v>
      </c>
      <c r="E155" s="1">
        <v>0</v>
      </c>
      <c r="F155" s="1">
        <v>0</v>
      </c>
      <c r="H155" t="str">
        <f t="shared" si="4"/>
        <v>Louisiana Fiery Hot Pepper SauceLAMAI</v>
      </c>
      <c r="I155" t="str">
        <f>_xlfn.CONCAT(C155:D155:E155:F155)</f>
        <v>0226.800</v>
      </c>
      <c r="J155">
        <f>AVERAGE(C155:D155:E155:F155)</f>
        <v>56.7</v>
      </c>
      <c r="K155">
        <f t="shared" si="5"/>
        <v>0</v>
      </c>
    </row>
    <row r="156" spans="1:11" x14ac:dyDescent="0.3">
      <c r="A156" s="5" t="s">
        <v>84</v>
      </c>
      <c r="B156" t="s">
        <v>22</v>
      </c>
      <c r="C156" s="1">
        <v>0</v>
      </c>
      <c r="D156" s="1">
        <v>0</v>
      </c>
      <c r="E156" s="1">
        <v>442.05</v>
      </c>
      <c r="F156" s="1">
        <v>0</v>
      </c>
      <c r="H156" t="str">
        <f t="shared" si="4"/>
        <v>Louisiana Fiery Hot Pepper SauceLINOD</v>
      </c>
      <c r="I156" t="str">
        <f>_xlfn.CONCAT(C156:D156:E156:F156)</f>
        <v>00442.050</v>
      </c>
      <c r="J156">
        <f>AVERAGE(C156:D156:E156:F156)</f>
        <v>110.5125</v>
      </c>
      <c r="K156">
        <f t="shared" si="5"/>
        <v>0</v>
      </c>
    </row>
    <row r="157" spans="1:11" x14ac:dyDescent="0.3">
      <c r="A157" s="5" t="s">
        <v>84</v>
      </c>
      <c r="B157" t="s">
        <v>33</v>
      </c>
      <c r="C157" s="1">
        <v>0</v>
      </c>
      <c r="D157" s="1">
        <v>599.91999999999996</v>
      </c>
      <c r="E157" s="1">
        <v>0</v>
      </c>
      <c r="F157" s="1">
        <v>0</v>
      </c>
      <c r="H157" t="str">
        <f t="shared" si="4"/>
        <v>Louisiana Fiery Hot Pepper SauceOTTIK</v>
      </c>
      <c r="I157" t="str">
        <f>_xlfn.CONCAT(C157:D157:E157:F157)</f>
        <v>0599.9200</v>
      </c>
      <c r="J157">
        <f>AVERAGE(C157:D157:E157:F157)</f>
        <v>149.97999999999999</v>
      </c>
      <c r="K157">
        <f t="shared" si="5"/>
        <v>0</v>
      </c>
    </row>
    <row r="158" spans="1:11" x14ac:dyDescent="0.3">
      <c r="A158" s="5" t="s">
        <v>84</v>
      </c>
      <c r="B158" t="s">
        <v>14</v>
      </c>
      <c r="C158" s="1">
        <v>0</v>
      </c>
      <c r="D158" s="1">
        <v>0</v>
      </c>
      <c r="E158" s="1">
        <v>202.08</v>
      </c>
      <c r="F158" s="1">
        <v>0</v>
      </c>
      <c r="H158" t="str">
        <f t="shared" si="4"/>
        <v>Louisiana Fiery Hot Pepper SaucePICCO</v>
      </c>
      <c r="I158" t="str">
        <f>_xlfn.CONCAT(C158:D158:E158:F158)</f>
        <v>00202.080</v>
      </c>
      <c r="J158">
        <f>AVERAGE(C158:D158:E158:F158)</f>
        <v>50.52</v>
      </c>
      <c r="K158">
        <f t="shared" si="5"/>
        <v>0</v>
      </c>
    </row>
    <row r="159" spans="1:11" x14ac:dyDescent="0.3">
      <c r="A159" s="5" t="s">
        <v>84</v>
      </c>
      <c r="B159" t="s">
        <v>23</v>
      </c>
      <c r="C159" s="1">
        <v>423.36</v>
      </c>
      <c r="D159" s="1">
        <v>0</v>
      </c>
      <c r="E159" s="1">
        <v>0</v>
      </c>
      <c r="F159" s="1">
        <v>1515.6</v>
      </c>
      <c r="H159" t="str">
        <f t="shared" si="4"/>
        <v>Louisiana Fiery Hot Pepper SauceQUICK</v>
      </c>
      <c r="I159" t="str">
        <f>_xlfn.CONCAT(C159:D159:E159:F159)</f>
        <v>423.36001515.6</v>
      </c>
      <c r="J159">
        <f>AVERAGE(C159:D159:E159:F159)</f>
        <v>484.74</v>
      </c>
      <c r="K159">
        <f t="shared" si="5"/>
        <v>0</v>
      </c>
    </row>
    <row r="160" spans="1:11" x14ac:dyDescent="0.3">
      <c r="A160" s="5" t="s">
        <v>84</v>
      </c>
      <c r="B160" t="s">
        <v>15</v>
      </c>
      <c r="C160" s="1">
        <v>336</v>
      </c>
      <c r="D160" s="1">
        <v>0</v>
      </c>
      <c r="E160" s="1">
        <v>0</v>
      </c>
      <c r="F160" s="1">
        <v>0</v>
      </c>
      <c r="H160" t="str">
        <f t="shared" si="4"/>
        <v>Louisiana Fiery Hot Pepper SauceRATTC</v>
      </c>
      <c r="I160" t="str">
        <f>_xlfn.CONCAT(C160:D160:E160:F160)</f>
        <v>336000</v>
      </c>
      <c r="J160">
        <f>AVERAGE(C160:D160:E160:F160)</f>
        <v>84</v>
      </c>
      <c r="K160">
        <f t="shared" si="5"/>
        <v>0</v>
      </c>
    </row>
    <row r="161" spans="1:11" x14ac:dyDescent="0.3">
      <c r="A161" s="5" t="s">
        <v>84</v>
      </c>
      <c r="B161" t="s">
        <v>47</v>
      </c>
      <c r="C161" s="1">
        <v>588</v>
      </c>
      <c r="D161" s="1">
        <v>0</v>
      </c>
      <c r="E161" s="1">
        <v>0</v>
      </c>
      <c r="F161" s="1">
        <v>0</v>
      </c>
      <c r="H161" t="str">
        <f t="shared" si="4"/>
        <v>Louisiana Fiery Hot Pepper SauceRICAR</v>
      </c>
      <c r="I161" t="str">
        <f>_xlfn.CONCAT(C161:D161:E161:F161)</f>
        <v>588000</v>
      </c>
      <c r="J161">
        <f>AVERAGE(C161:D161:E161:F161)</f>
        <v>147</v>
      </c>
      <c r="K161">
        <f t="shared" si="5"/>
        <v>0</v>
      </c>
    </row>
    <row r="162" spans="1:11" x14ac:dyDescent="0.3">
      <c r="A162" s="5" t="s">
        <v>84</v>
      </c>
      <c r="B162" t="s">
        <v>48</v>
      </c>
      <c r="C162" s="1">
        <v>0</v>
      </c>
      <c r="D162" s="1">
        <v>0</v>
      </c>
      <c r="E162" s="1">
        <v>210.5</v>
      </c>
      <c r="F162" s="1">
        <v>0</v>
      </c>
      <c r="H162" t="str">
        <f t="shared" si="4"/>
        <v>Louisiana Fiery Hot Pepper SauceRICSU</v>
      </c>
      <c r="I162" t="str">
        <f>_xlfn.CONCAT(C162:D162:E162:F162)</f>
        <v>00210.50</v>
      </c>
      <c r="J162">
        <f>AVERAGE(C162:D162:E162:F162)</f>
        <v>52.625</v>
      </c>
      <c r="K162">
        <f t="shared" si="5"/>
        <v>0</v>
      </c>
    </row>
    <row r="163" spans="1:11" x14ac:dyDescent="0.3">
      <c r="A163" s="5" t="s">
        <v>84</v>
      </c>
      <c r="B163" t="s">
        <v>83</v>
      </c>
      <c r="C163" s="1">
        <v>0</v>
      </c>
      <c r="D163" s="1">
        <v>0</v>
      </c>
      <c r="E163" s="1">
        <v>0</v>
      </c>
      <c r="F163" s="1">
        <v>42.1</v>
      </c>
      <c r="H163" t="str">
        <f t="shared" si="4"/>
        <v>Louisiana Fiery Hot Pepper SauceVICTE</v>
      </c>
      <c r="I163" t="str">
        <f>_xlfn.CONCAT(C163:D163:E163:F163)</f>
        <v>00042.1</v>
      </c>
      <c r="J163">
        <f>AVERAGE(C163:D163:E163:F163)</f>
        <v>10.525</v>
      </c>
      <c r="K163">
        <f t="shared" si="5"/>
        <v>0</v>
      </c>
    </row>
    <row r="164" spans="1:11" x14ac:dyDescent="0.3">
      <c r="A164" s="5" t="s">
        <v>87</v>
      </c>
      <c r="B164" t="s">
        <v>7</v>
      </c>
      <c r="C164" s="1">
        <v>0</v>
      </c>
      <c r="D164" s="1">
        <v>0</v>
      </c>
      <c r="E164" s="1">
        <v>68</v>
      </c>
      <c r="F164" s="1">
        <v>0</v>
      </c>
      <c r="H164" t="str">
        <f t="shared" si="4"/>
        <v>Louisiana Hot Spiced OkraANTON</v>
      </c>
      <c r="I164" t="str">
        <f>_xlfn.CONCAT(C164:D164:E164:F164)</f>
        <v>00680</v>
      </c>
      <c r="J164">
        <f>AVERAGE(C164:D164:E164:F164)</f>
        <v>17</v>
      </c>
      <c r="K164">
        <f t="shared" si="5"/>
        <v>0</v>
      </c>
    </row>
    <row r="165" spans="1:11" x14ac:dyDescent="0.3">
      <c r="A165" s="5" t="s">
        <v>87</v>
      </c>
      <c r="B165" t="s">
        <v>52</v>
      </c>
      <c r="C165" s="1">
        <v>0</v>
      </c>
      <c r="D165" s="1">
        <v>408</v>
      </c>
      <c r="E165" s="1">
        <v>0</v>
      </c>
      <c r="F165" s="1">
        <v>0</v>
      </c>
      <c r="H165" t="str">
        <f t="shared" si="4"/>
        <v>Louisiana Hot Spiced OkraEASTC</v>
      </c>
      <c r="I165" t="str">
        <f>_xlfn.CONCAT(C165:D165:E165:F165)</f>
        <v>040800</v>
      </c>
      <c r="J165">
        <f>AVERAGE(C165:D165:E165:F165)</f>
        <v>102</v>
      </c>
      <c r="K165">
        <f t="shared" si="5"/>
        <v>0</v>
      </c>
    </row>
    <row r="166" spans="1:11" x14ac:dyDescent="0.3">
      <c r="A166" s="5" t="s">
        <v>87</v>
      </c>
      <c r="B166" t="s">
        <v>11</v>
      </c>
      <c r="C166" s="1">
        <v>816</v>
      </c>
      <c r="D166" s="1">
        <v>0</v>
      </c>
      <c r="E166" s="1">
        <v>0</v>
      </c>
      <c r="F166" s="1">
        <v>0</v>
      </c>
      <c r="H166" t="str">
        <f t="shared" si="4"/>
        <v>Louisiana Hot Spiced OkraERNSH</v>
      </c>
      <c r="I166" t="str">
        <f>_xlfn.CONCAT(C166:D166:E166:F166)</f>
        <v>816000</v>
      </c>
      <c r="J166">
        <f>AVERAGE(C166:D166:E166:F166)</f>
        <v>204</v>
      </c>
      <c r="K166">
        <f t="shared" si="5"/>
        <v>0</v>
      </c>
    </row>
    <row r="167" spans="1:11" x14ac:dyDescent="0.3">
      <c r="A167" s="5" t="s">
        <v>87</v>
      </c>
      <c r="B167" t="s">
        <v>53</v>
      </c>
      <c r="C167" s="1">
        <v>0</v>
      </c>
      <c r="D167" s="1">
        <v>0</v>
      </c>
      <c r="E167" s="1">
        <v>0</v>
      </c>
      <c r="F167" s="1">
        <v>850</v>
      </c>
      <c r="H167" t="str">
        <f t="shared" si="4"/>
        <v>Louisiana Hot Spiced OkraFOLKO</v>
      </c>
      <c r="I167" t="str">
        <f>_xlfn.CONCAT(C167:D167:E167:F167)</f>
        <v>000850</v>
      </c>
      <c r="J167">
        <f>AVERAGE(C167:D167:E167:F167)</f>
        <v>212.5</v>
      </c>
      <c r="K167">
        <f t="shared" si="5"/>
        <v>0</v>
      </c>
    </row>
    <row r="168" spans="1:11" x14ac:dyDescent="0.3">
      <c r="A168" s="5" t="s">
        <v>87</v>
      </c>
      <c r="B168" t="s">
        <v>86</v>
      </c>
      <c r="C168" s="1">
        <v>0</v>
      </c>
      <c r="D168" s="1">
        <v>122.4</v>
      </c>
      <c r="E168" s="1">
        <v>0</v>
      </c>
      <c r="F168" s="1">
        <v>0</v>
      </c>
      <c r="H168" t="str">
        <f t="shared" si="4"/>
        <v>Louisiana Hot Spiced OkraLAMAI</v>
      </c>
      <c r="I168" t="str">
        <f>_xlfn.CONCAT(C168:D168:E168:F168)</f>
        <v>0122.400</v>
      </c>
      <c r="J168">
        <f>AVERAGE(C168:D168:E168:F168)</f>
        <v>30.6</v>
      </c>
      <c r="K168">
        <f t="shared" si="5"/>
        <v>0</v>
      </c>
    </row>
    <row r="169" spans="1:11" x14ac:dyDescent="0.3">
      <c r="A169" s="5" t="s">
        <v>87</v>
      </c>
      <c r="B169" t="s">
        <v>69</v>
      </c>
      <c r="C169" s="1">
        <v>693.6</v>
      </c>
      <c r="D169" s="1">
        <v>0</v>
      </c>
      <c r="E169" s="1">
        <v>0</v>
      </c>
      <c r="F169" s="1">
        <v>0</v>
      </c>
      <c r="H169" t="str">
        <f t="shared" si="4"/>
        <v>Louisiana Hot Spiced OkraSUPRD</v>
      </c>
      <c r="I169" t="str">
        <f>_xlfn.CONCAT(C169:D169:E169:F169)</f>
        <v>693.6000</v>
      </c>
      <c r="J169">
        <f>AVERAGE(C169:D169:E169:F169)</f>
        <v>173.4</v>
      </c>
      <c r="K169">
        <f t="shared" si="5"/>
        <v>0</v>
      </c>
    </row>
    <row r="170" spans="1:11" x14ac:dyDescent="0.3">
      <c r="A170" s="5" t="s">
        <v>88</v>
      </c>
      <c r="B170" t="s">
        <v>10</v>
      </c>
      <c r="C170" s="1">
        <v>0</v>
      </c>
      <c r="D170" s="1">
        <v>0</v>
      </c>
      <c r="E170" s="1">
        <v>0</v>
      </c>
      <c r="F170" s="1">
        <v>1218</v>
      </c>
      <c r="H170" t="str">
        <f t="shared" si="4"/>
        <v>Mozzarella di GiovanniBOTTM</v>
      </c>
      <c r="I170" t="str">
        <f>_xlfn.CONCAT(C170:D170:E170:F170)</f>
        <v>0001218</v>
      </c>
      <c r="J170">
        <f>AVERAGE(C170:D170:E170:F170)</f>
        <v>304.5</v>
      </c>
      <c r="K170">
        <f t="shared" si="5"/>
        <v>0</v>
      </c>
    </row>
    <row r="171" spans="1:11" x14ac:dyDescent="0.3">
      <c r="A171" s="5" t="s">
        <v>88</v>
      </c>
      <c r="B171" t="s">
        <v>27</v>
      </c>
      <c r="C171" s="1">
        <v>0</v>
      </c>
      <c r="D171" s="1">
        <v>34.799999999999997</v>
      </c>
      <c r="E171" s="1">
        <v>0</v>
      </c>
      <c r="F171" s="1">
        <v>0</v>
      </c>
      <c r="H171" t="str">
        <f t="shared" si="4"/>
        <v>Mozzarella di GiovanniBSBEV</v>
      </c>
      <c r="I171" t="str">
        <f>_xlfn.CONCAT(C171:D171:E171:F171)</f>
        <v>034.800</v>
      </c>
      <c r="J171">
        <f>AVERAGE(C171:D171:E171:F171)</f>
        <v>8.6999999999999993</v>
      </c>
      <c r="K171">
        <f t="shared" si="5"/>
        <v>0</v>
      </c>
    </row>
    <row r="172" spans="1:11" x14ac:dyDescent="0.3">
      <c r="A172" s="5" t="s">
        <v>88</v>
      </c>
      <c r="B172" t="s">
        <v>89</v>
      </c>
      <c r="C172" s="1">
        <v>278</v>
      </c>
      <c r="D172" s="1">
        <v>0</v>
      </c>
      <c r="E172" s="1">
        <v>0</v>
      </c>
      <c r="F172" s="1">
        <v>0</v>
      </c>
      <c r="H172" t="str">
        <f t="shared" si="4"/>
        <v>Mozzarella di GiovanniCONSH</v>
      </c>
      <c r="I172" t="str">
        <f>_xlfn.CONCAT(C172:D172:E172:F172)</f>
        <v>278000</v>
      </c>
      <c r="J172">
        <f>AVERAGE(C172:D172:E172:F172)</f>
        <v>69.5</v>
      </c>
      <c r="K172">
        <f t="shared" si="5"/>
        <v>0</v>
      </c>
    </row>
    <row r="173" spans="1:11" x14ac:dyDescent="0.3">
      <c r="A173" s="5" t="s">
        <v>88</v>
      </c>
      <c r="B173" t="s">
        <v>53</v>
      </c>
      <c r="C173" s="1">
        <v>0</v>
      </c>
      <c r="D173" s="1">
        <v>835.2</v>
      </c>
      <c r="E173" s="1">
        <v>0</v>
      </c>
      <c r="F173" s="1">
        <v>0</v>
      </c>
      <c r="H173" t="str">
        <f t="shared" si="4"/>
        <v>Mozzarella di GiovanniFOLKO</v>
      </c>
      <c r="I173" t="str">
        <f>_xlfn.CONCAT(C173:D173:E173:F173)</f>
        <v>0835.200</v>
      </c>
      <c r="J173">
        <f>AVERAGE(C173:D173:E173:F173)</f>
        <v>208.8</v>
      </c>
      <c r="K173">
        <f t="shared" si="5"/>
        <v>0</v>
      </c>
    </row>
    <row r="174" spans="1:11" x14ac:dyDescent="0.3">
      <c r="A174" s="5" t="s">
        <v>88</v>
      </c>
      <c r="B174" t="s">
        <v>90</v>
      </c>
      <c r="C174" s="1">
        <v>0</v>
      </c>
      <c r="D174" s="1">
        <v>313.2</v>
      </c>
      <c r="E174" s="1">
        <v>0</v>
      </c>
      <c r="F174" s="1">
        <v>0</v>
      </c>
      <c r="H174" t="str">
        <f t="shared" si="4"/>
        <v>Mozzarella di GiovanniGREAL</v>
      </c>
      <c r="I174" t="str">
        <f>_xlfn.CONCAT(C174:D174:E174:F174)</f>
        <v>0313.200</v>
      </c>
      <c r="J174">
        <f>AVERAGE(C174:D174:E174:F174)</f>
        <v>78.3</v>
      </c>
      <c r="K174">
        <f t="shared" si="5"/>
        <v>0</v>
      </c>
    </row>
    <row r="175" spans="1:11" x14ac:dyDescent="0.3">
      <c r="A175" s="5" t="s">
        <v>88</v>
      </c>
      <c r="B175" t="s">
        <v>91</v>
      </c>
      <c r="C175" s="1">
        <v>0</v>
      </c>
      <c r="D175" s="1">
        <v>0</v>
      </c>
      <c r="E175" s="1">
        <v>0</v>
      </c>
      <c r="F175" s="1">
        <v>348</v>
      </c>
      <c r="H175" t="str">
        <f t="shared" si="4"/>
        <v>Mozzarella di GiovanniISLAT</v>
      </c>
      <c r="I175" t="str">
        <f>_xlfn.CONCAT(C175:D175:E175:F175)</f>
        <v>000348</v>
      </c>
      <c r="J175">
        <f>AVERAGE(C175:D175:E175:F175)</f>
        <v>87</v>
      </c>
      <c r="K175">
        <f t="shared" si="5"/>
        <v>0</v>
      </c>
    </row>
    <row r="176" spans="1:11" x14ac:dyDescent="0.3">
      <c r="A176" s="5" t="s">
        <v>88</v>
      </c>
      <c r="B176" t="s">
        <v>31</v>
      </c>
      <c r="C176" s="1">
        <v>0</v>
      </c>
      <c r="D176" s="1">
        <v>695</v>
      </c>
      <c r="E176" s="1">
        <v>0</v>
      </c>
      <c r="F176" s="1">
        <v>0</v>
      </c>
      <c r="H176" t="str">
        <f t="shared" si="4"/>
        <v>Mozzarella di GiovanniLEHMS</v>
      </c>
      <c r="I176" t="str">
        <f>_xlfn.CONCAT(C176:D176:E176:F176)</f>
        <v>069500</v>
      </c>
      <c r="J176">
        <f>AVERAGE(C176:D176:E176:F176)</f>
        <v>173.75</v>
      </c>
      <c r="K176">
        <f t="shared" si="5"/>
        <v>0</v>
      </c>
    </row>
    <row r="177" spans="1:11" x14ac:dyDescent="0.3">
      <c r="A177" s="5" t="s">
        <v>88</v>
      </c>
      <c r="B177" t="s">
        <v>22</v>
      </c>
      <c r="C177" s="1">
        <v>0</v>
      </c>
      <c r="D177" s="1">
        <v>0</v>
      </c>
      <c r="E177" s="1">
        <v>2088</v>
      </c>
      <c r="F177" s="1">
        <v>0</v>
      </c>
      <c r="H177" t="str">
        <f t="shared" si="4"/>
        <v>Mozzarella di GiovanniLINOD</v>
      </c>
      <c r="I177" t="str">
        <f>_xlfn.CONCAT(C177:D177:E177:F177)</f>
        <v>0020880</v>
      </c>
      <c r="J177">
        <f>AVERAGE(C177:D177:E177:F177)</f>
        <v>522</v>
      </c>
      <c r="K177">
        <f t="shared" si="5"/>
        <v>0</v>
      </c>
    </row>
    <row r="178" spans="1:11" x14ac:dyDescent="0.3">
      <c r="A178" s="5" t="s">
        <v>88</v>
      </c>
      <c r="B178" t="s">
        <v>32</v>
      </c>
      <c r="C178" s="1">
        <v>0</v>
      </c>
      <c r="D178" s="1">
        <v>0</v>
      </c>
      <c r="E178" s="1">
        <v>0</v>
      </c>
      <c r="F178" s="1">
        <v>887.4</v>
      </c>
      <c r="H178" t="str">
        <f t="shared" si="4"/>
        <v>Mozzarella di GiovanniMAGAA</v>
      </c>
      <c r="I178" t="str">
        <f>_xlfn.CONCAT(C178:D178:E178:F178)</f>
        <v>000887.4</v>
      </c>
      <c r="J178">
        <f>AVERAGE(C178:D178:E178:F178)</f>
        <v>221.85</v>
      </c>
      <c r="K178">
        <f t="shared" si="5"/>
        <v>0</v>
      </c>
    </row>
    <row r="179" spans="1:11" x14ac:dyDescent="0.3">
      <c r="A179" s="5" t="s">
        <v>88</v>
      </c>
      <c r="B179" t="s">
        <v>75</v>
      </c>
      <c r="C179" s="1">
        <v>0</v>
      </c>
      <c r="D179" s="1">
        <v>0</v>
      </c>
      <c r="E179" s="1">
        <v>522</v>
      </c>
      <c r="F179" s="1">
        <v>0</v>
      </c>
      <c r="H179" t="str">
        <f t="shared" si="4"/>
        <v>Mozzarella di GiovanniMAISD</v>
      </c>
      <c r="I179" t="str">
        <f>_xlfn.CONCAT(C179:D179:E179:F179)</f>
        <v>005220</v>
      </c>
      <c r="J179">
        <f>AVERAGE(C179:D179:E179:F179)</f>
        <v>130.5</v>
      </c>
      <c r="K179">
        <f t="shared" si="5"/>
        <v>0</v>
      </c>
    </row>
    <row r="180" spans="1:11" x14ac:dyDescent="0.3">
      <c r="A180" s="5" t="s">
        <v>88</v>
      </c>
      <c r="B180" t="s">
        <v>92</v>
      </c>
      <c r="C180" s="1">
        <v>0</v>
      </c>
      <c r="D180" s="1">
        <v>1044</v>
      </c>
      <c r="E180" s="1">
        <v>0</v>
      </c>
      <c r="F180" s="1">
        <v>0</v>
      </c>
      <c r="H180" t="str">
        <f t="shared" si="4"/>
        <v>Mozzarella di GiovanniMORGK</v>
      </c>
      <c r="I180" t="str">
        <f>_xlfn.CONCAT(C180:D180:E180:F180)</f>
        <v>0104400</v>
      </c>
      <c r="J180">
        <f>AVERAGE(C180:D180:E180:F180)</f>
        <v>261</v>
      </c>
      <c r="K180">
        <f t="shared" si="5"/>
        <v>0</v>
      </c>
    </row>
    <row r="181" spans="1:11" x14ac:dyDescent="0.3">
      <c r="A181" s="5" t="s">
        <v>88</v>
      </c>
      <c r="B181" t="s">
        <v>23</v>
      </c>
      <c r="C181" s="1">
        <v>0</v>
      </c>
      <c r="D181" s="1">
        <v>0</v>
      </c>
      <c r="E181" s="1">
        <v>0</v>
      </c>
      <c r="F181" s="1">
        <v>243.6</v>
      </c>
      <c r="H181" t="str">
        <f t="shared" si="4"/>
        <v>Mozzarella di GiovanniQUICK</v>
      </c>
      <c r="I181" t="str">
        <f>_xlfn.CONCAT(C181:D181:E181:F181)</f>
        <v>000243.6</v>
      </c>
      <c r="J181">
        <f>AVERAGE(C181:D181:E181:F181)</f>
        <v>60.9</v>
      </c>
      <c r="K181">
        <f t="shared" si="5"/>
        <v>0</v>
      </c>
    </row>
    <row r="182" spans="1:11" x14ac:dyDescent="0.3">
      <c r="A182" s="5" t="s">
        <v>88</v>
      </c>
      <c r="B182" t="s">
        <v>48</v>
      </c>
      <c r="C182" s="1">
        <v>0</v>
      </c>
      <c r="D182" s="1">
        <v>730.8</v>
      </c>
      <c r="E182" s="1">
        <v>0</v>
      </c>
      <c r="F182" s="1">
        <v>0</v>
      </c>
      <c r="H182" t="str">
        <f t="shared" si="4"/>
        <v>Mozzarella di GiovanniRICSU</v>
      </c>
      <c r="I182" t="str">
        <f>_xlfn.CONCAT(C182:D182:E182:F182)</f>
        <v>0730.800</v>
      </c>
      <c r="J182">
        <f>AVERAGE(C182:D182:E182:F182)</f>
        <v>182.7</v>
      </c>
      <c r="K182">
        <f t="shared" si="5"/>
        <v>0</v>
      </c>
    </row>
    <row r="183" spans="1:11" x14ac:dyDescent="0.3">
      <c r="A183" s="5" t="s">
        <v>88</v>
      </c>
      <c r="B183" t="s">
        <v>17</v>
      </c>
      <c r="C183" s="1">
        <v>0</v>
      </c>
      <c r="D183" s="1">
        <v>0</v>
      </c>
      <c r="E183" s="1">
        <v>417.6</v>
      </c>
      <c r="F183" s="1">
        <v>0</v>
      </c>
      <c r="H183" t="str">
        <f t="shared" si="4"/>
        <v>Mozzarella di GiovanniSAVEA</v>
      </c>
      <c r="I183" t="str">
        <f>_xlfn.CONCAT(C183:D183:E183:F183)</f>
        <v>00417.60</v>
      </c>
      <c r="J183">
        <f>AVERAGE(C183:D183:E183:F183)</f>
        <v>104.4</v>
      </c>
      <c r="K183">
        <f t="shared" si="5"/>
        <v>0</v>
      </c>
    </row>
    <row r="184" spans="1:11" x14ac:dyDescent="0.3">
      <c r="A184" s="5" t="s">
        <v>88</v>
      </c>
      <c r="B184" t="s">
        <v>93</v>
      </c>
      <c r="C184" s="1">
        <v>0</v>
      </c>
      <c r="D184" s="1">
        <v>835.2</v>
      </c>
      <c r="E184" s="1">
        <v>0</v>
      </c>
      <c r="F184" s="1">
        <v>0</v>
      </c>
      <c r="H184" t="str">
        <f t="shared" si="4"/>
        <v>Mozzarella di GiovanniSIMOB</v>
      </c>
      <c r="I184" t="str">
        <f>_xlfn.CONCAT(C184:D184:E184:F184)</f>
        <v>0835.200</v>
      </c>
      <c r="J184">
        <f>AVERAGE(C184:D184:E184:F184)</f>
        <v>208.8</v>
      </c>
      <c r="K184">
        <f t="shared" si="5"/>
        <v>0</v>
      </c>
    </row>
    <row r="185" spans="1:11" x14ac:dyDescent="0.3">
      <c r="A185" s="5" t="s">
        <v>88</v>
      </c>
      <c r="B185" t="s">
        <v>83</v>
      </c>
      <c r="C185" s="1">
        <v>1112</v>
      </c>
      <c r="D185" s="1">
        <v>0</v>
      </c>
      <c r="E185" s="1">
        <v>0</v>
      </c>
      <c r="F185" s="1">
        <v>0</v>
      </c>
      <c r="H185" t="str">
        <f t="shared" si="4"/>
        <v>Mozzarella di GiovanniVICTE</v>
      </c>
      <c r="I185" t="str">
        <f>_xlfn.CONCAT(C185:D185:E185:F185)</f>
        <v>1112000</v>
      </c>
      <c r="J185">
        <f>AVERAGE(C185:D185:E185:F185)</f>
        <v>278</v>
      </c>
      <c r="K185">
        <f t="shared" si="5"/>
        <v>0</v>
      </c>
    </row>
    <row r="186" spans="1:11" x14ac:dyDescent="0.3">
      <c r="A186" s="5" t="s">
        <v>94</v>
      </c>
      <c r="B186" t="s">
        <v>26</v>
      </c>
      <c r="C186" s="1">
        <v>0</v>
      </c>
      <c r="D186" s="1">
        <v>340</v>
      </c>
      <c r="E186" s="1">
        <v>0</v>
      </c>
      <c r="F186" s="1">
        <v>0</v>
      </c>
      <c r="H186" t="str">
        <f t="shared" si="4"/>
        <v>Northwoods Cranberry SauceBONAP</v>
      </c>
      <c r="I186" t="str">
        <f>_xlfn.CONCAT(C186:D186:E186:F186)</f>
        <v>034000</v>
      </c>
      <c r="J186">
        <f>AVERAGE(C186:D186:E186:F186)</f>
        <v>85</v>
      </c>
      <c r="K186">
        <f t="shared" si="5"/>
        <v>0</v>
      </c>
    </row>
    <row r="187" spans="1:11" x14ac:dyDescent="0.3">
      <c r="A187" s="5" t="s">
        <v>94</v>
      </c>
      <c r="B187" t="s">
        <v>45</v>
      </c>
      <c r="C187" s="1">
        <v>0</v>
      </c>
      <c r="D187" s="1">
        <v>0</v>
      </c>
      <c r="E187" s="1">
        <v>0</v>
      </c>
      <c r="F187" s="1">
        <v>1600</v>
      </c>
      <c r="H187" t="str">
        <f t="shared" si="4"/>
        <v>Northwoods Cranberry SauceGOURL</v>
      </c>
      <c r="I187" t="str">
        <f>_xlfn.CONCAT(C187:D187:E187:F187)</f>
        <v>0001600</v>
      </c>
      <c r="J187">
        <f>AVERAGE(C187:D187:E187:F187)</f>
        <v>400</v>
      </c>
      <c r="K187">
        <f t="shared" si="5"/>
        <v>0</v>
      </c>
    </row>
    <row r="188" spans="1:11" x14ac:dyDescent="0.3">
      <c r="A188" s="5" t="s">
        <v>94</v>
      </c>
      <c r="B188" t="s">
        <v>31</v>
      </c>
      <c r="C188" s="1">
        <v>0</v>
      </c>
      <c r="D188" s="1">
        <v>960</v>
      </c>
      <c r="E188" s="1">
        <v>0</v>
      </c>
      <c r="F188" s="1">
        <v>0</v>
      </c>
      <c r="H188" t="str">
        <f t="shared" si="4"/>
        <v>Northwoods Cranberry SauceLEHMS</v>
      </c>
      <c r="I188" t="str">
        <f>_xlfn.CONCAT(C188:D188:E188:F188)</f>
        <v>096000</v>
      </c>
      <c r="J188">
        <f>AVERAGE(C188:D188:E188:F188)</f>
        <v>240</v>
      </c>
      <c r="K188">
        <f t="shared" si="5"/>
        <v>0</v>
      </c>
    </row>
    <row r="189" spans="1:11" x14ac:dyDescent="0.3">
      <c r="A189" s="5" t="s">
        <v>94</v>
      </c>
      <c r="B189" t="s">
        <v>35</v>
      </c>
      <c r="C189" s="1">
        <v>0</v>
      </c>
      <c r="D189" s="1">
        <v>0</v>
      </c>
      <c r="E189" s="1">
        <v>0</v>
      </c>
      <c r="F189" s="1">
        <v>960</v>
      </c>
      <c r="H189" t="str">
        <f t="shared" si="4"/>
        <v>Northwoods Cranberry SauceQUEEN</v>
      </c>
      <c r="I189" t="str">
        <f>_xlfn.CONCAT(C189:D189:E189:F189)</f>
        <v>000960</v>
      </c>
      <c r="J189">
        <f>AVERAGE(C189:D189:E189:F189)</f>
        <v>240</v>
      </c>
      <c r="K189">
        <f t="shared" si="5"/>
        <v>0</v>
      </c>
    </row>
    <row r="190" spans="1:11" x14ac:dyDescent="0.3">
      <c r="A190" s="5" t="s">
        <v>94</v>
      </c>
      <c r="B190" t="s">
        <v>77</v>
      </c>
      <c r="C190" s="1">
        <v>0</v>
      </c>
      <c r="D190" s="1">
        <v>0</v>
      </c>
      <c r="E190" s="1">
        <v>0</v>
      </c>
      <c r="F190" s="1">
        <v>400</v>
      </c>
      <c r="H190" t="str">
        <f t="shared" si="4"/>
        <v>Northwoods Cranberry SauceWILMK</v>
      </c>
      <c r="I190" t="str">
        <f>_xlfn.CONCAT(C190:D190:E190:F190)</f>
        <v>000400</v>
      </c>
      <c r="J190">
        <f>AVERAGE(C190:D190:E190:F190)</f>
        <v>100</v>
      </c>
      <c r="K190">
        <f t="shared" si="5"/>
        <v>0</v>
      </c>
    </row>
    <row r="191" spans="1:11" x14ac:dyDescent="0.3">
      <c r="A191" s="5" t="s">
        <v>95</v>
      </c>
      <c r="B191" t="s">
        <v>7</v>
      </c>
      <c r="C191" s="1">
        <v>0</v>
      </c>
      <c r="D191" s="1">
        <v>87.75</v>
      </c>
      <c r="E191" s="1">
        <v>0</v>
      </c>
      <c r="F191" s="1">
        <v>0</v>
      </c>
      <c r="H191" t="str">
        <f t="shared" si="4"/>
        <v>Ravioli AngeloANTON</v>
      </c>
      <c r="I191" t="str">
        <f>_xlfn.CONCAT(C191:D191:E191:F191)</f>
        <v>087.7500</v>
      </c>
      <c r="J191">
        <f>AVERAGE(C191:D191:E191:F191)</f>
        <v>21.9375</v>
      </c>
      <c r="K191">
        <f t="shared" si="5"/>
        <v>0</v>
      </c>
    </row>
    <row r="192" spans="1:11" x14ac:dyDescent="0.3">
      <c r="A192" s="5" t="s">
        <v>95</v>
      </c>
      <c r="B192" t="s">
        <v>40</v>
      </c>
      <c r="C192" s="1">
        <v>0</v>
      </c>
      <c r="D192" s="1">
        <v>0</v>
      </c>
      <c r="E192" s="1">
        <v>0</v>
      </c>
      <c r="F192" s="1">
        <v>780</v>
      </c>
      <c r="H192" t="str">
        <f t="shared" si="4"/>
        <v>Ravioli AngeloAROUT</v>
      </c>
      <c r="I192" t="str">
        <f>_xlfn.CONCAT(C192:D192:E192:F192)</f>
        <v>000780</v>
      </c>
      <c r="J192">
        <f>AVERAGE(C192:D192:E192:F192)</f>
        <v>195</v>
      </c>
      <c r="K192">
        <f t="shared" si="5"/>
        <v>0</v>
      </c>
    </row>
    <row r="193" spans="1:11" x14ac:dyDescent="0.3">
      <c r="A193" s="5" t="s">
        <v>95</v>
      </c>
      <c r="B193" t="s">
        <v>96</v>
      </c>
      <c r="C193" s="1">
        <v>0</v>
      </c>
      <c r="D193" s="1">
        <v>78</v>
      </c>
      <c r="E193" s="1">
        <v>0</v>
      </c>
      <c r="F193" s="1">
        <v>0</v>
      </c>
      <c r="H193" t="str">
        <f t="shared" si="4"/>
        <v>Ravioli AngeloBLAUS</v>
      </c>
      <c r="I193" t="str">
        <f>_xlfn.CONCAT(C193:D193:E193:F193)</f>
        <v>07800</v>
      </c>
      <c r="J193">
        <f>AVERAGE(C193:D193:E193:F193)</f>
        <v>19.5</v>
      </c>
      <c r="K193">
        <f t="shared" si="5"/>
        <v>0</v>
      </c>
    </row>
    <row r="194" spans="1:11" x14ac:dyDescent="0.3">
      <c r="A194" s="5" t="s">
        <v>95</v>
      </c>
      <c r="B194" t="s">
        <v>26</v>
      </c>
      <c r="C194" s="1">
        <v>0</v>
      </c>
      <c r="D194" s="1">
        <v>0</v>
      </c>
      <c r="E194" s="1">
        <v>0</v>
      </c>
      <c r="F194" s="1">
        <v>204.75</v>
      </c>
      <c r="H194" t="str">
        <f t="shared" ref="H194:H257" si="6">_xlfn.CONCAT(A194:B194)</f>
        <v>Ravioli AngeloBONAP</v>
      </c>
      <c r="I194" t="str">
        <f>_xlfn.CONCAT(C194:D194:E194:F194)</f>
        <v>000204.75</v>
      </c>
      <c r="J194">
        <f>AVERAGE(C194:D194:E194:F194)</f>
        <v>51.1875</v>
      </c>
      <c r="K194">
        <f t="shared" si="5"/>
        <v>0</v>
      </c>
    </row>
    <row r="195" spans="1:11" x14ac:dyDescent="0.3">
      <c r="A195" s="5" t="s">
        <v>95</v>
      </c>
      <c r="B195" t="s">
        <v>27</v>
      </c>
      <c r="C195" s="1">
        <v>0</v>
      </c>
      <c r="D195" s="1">
        <v>117</v>
      </c>
      <c r="E195" s="1">
        <v>0</v>
      </c>
      <c r="F195" s="1">
        <v>0</v>
      </c>
      <c r="H195" t="str">
        <f t="shared" si="6"/>
        <v>Ravioli AngeloBSBEV</v>
      </c>
      <c r="I195" t="str">
        <f>_xlfn.CONCAT(C195:D195:E195:F195)</f>
        <v>011700</v>
      </c>
      <c r="J195">
        <f>AVERAGE(C195:D195:E195:F195)</f>
        <v>29.25</v>
      </c>
      <c r="K195">
        <f t="shared" ref="K195:K258" si="7">C195*D195*E195*F195</f>
        <v>0</v>
      </c>
    </row>
    <row r="196" spans="1:11" x14ac:dyDescent="0.3">
      <c r="A196" s="5" t="s">
        <v>95</v>
      </c>
      <c r="B196" t="s">
        <v>14</v>
      </c>
      <c r="C196" s="1">
        <v>0</v>
      </c>
      <c r="D196" s="1">
        <v>0</v>
      </c>
      <c r="E196" s="1">
        <v>390</v>
      </c>
      <c r="F196" s="1">
        <v>0</v>
      </c>
      <c r="H196" t="str">
        <f t="shared" si="6"/>
        <v>Ravioli AngeloPICCO</v>
      </c>
      <c r="I196" t="str">
        <f>_xlfn.CONCAT(C196:D196:E196:F196)</f>
        <v>003900</v>
      </c>
      <c r="J196">
        <f>AVERAGE(C196:D196:E196:F196)</f>
        <v>97.5</v>
      </c>
      <c r="K196">
        <f t="shared" si="7"/>
        <v>0</v>
      </c>
    </row>
    <row r="197" spans="1:11" x14ac:dyDescent="0.3">
      <c r="A197" s="5" t="s">
        <v>95</v>
      </c>
      <c r="B197" t="s">
        <v>63</v>
      </c>
      <c r="C197" s="1">
        <v>187.2</v>
      </c>
      <c r="D197" s="1">
        <v>0</v>
      </c>
      <c r="E197" s="1">
        <v>0</v>
      </c>
      <c r="F197" s="1">
        <v>0</v>
      </c>
      <c r="H197" t="str">
        <f t="shared" si="6"/>
        <v>Ravioli AngeloTOMSP</v>
      </c>
      <c r="I197" t="str">
        <f>_xlfn.CONCAT(C197:D197:E197:F197)</f>
        <v>187.2000</v>
      </c>
      <c r="J197">
        <f>AVERAGE(C197:D197:E197:F197)</f>
        <v>46.8</v>
      </c>
      <c r="K197">
        <f t="shared" si="7"/>
        <v>0</v>
      </c>
    </row>
    <row r="198" spans="1:11" x14ac:dyDescent="0.3">
      <c r="A198" s="5" t="s">
        <v>95</v>
      </c>
      <c r="B198" t="s">
        <v>49</v>
      </c>
      <c r="C198" s="1">
        <v>312</v>
      </c>
      <c r="D198" s="1">
        <v>0</v>
      </c>
      <c r="E198" s="1">
        <v>0</v>
      </c>
      <c r="F198" s="1">
        <v>0</v>
      </c>
      <c r="H198" t="str">
        <f t="shared" si="6"/>
        <v>Ravioli AngeloWARTH</v>
      </c>
      <c r="I198" t="str">
        <f>_xlfn.CONCAT(C198:D198:E198:F198)</f>
        <v>312000</v>
      </c>
      <c r="J198">
        <f>AVERAGE(C198:D198:E198:F198)</f>
        <v>78</v>
      </c>
      <c r="K198">
        <f t="shared" si="7"/>
        <v>0</v>
      </c>
    </row>
    <row r="199" spans="1:11" x14ac:dyDescent="0.3">
      <c r="A199" s="5" t="s">
        <v>97</v>
      </c>
      <c r="B199" t="s">
        <v>7</v>
      </c>
      <c r="C199" s="1">
        <v>0</v>
      </c>
      <c r="D199" s="1">
        <v>560</v>
      </c>
      <c r="E199" s="1">
        <v>0</v>
      </c>
      <c r="F199" s="1">
        <v>0</v>
      </c>
      <c r="H199" t="str">
        <f t="shared" si="6"/>
        <v>Sasquatch AleANTON</v>
      </c>
      <c r="I199" t="str">
        <f>_xlfn.CONCAT(C199:D199:E199:F199)</f>
        <v>056000</v>
      </c>
      <c r="J199">
        <f>AVERAGE(C199:D199:E199:F199)</f>
        <v>140</v>
      </c>
      <c r="K199">
        <f t="shared" si="7"/>
        <v>0</v>
      </c>
    </row>
    <row r="200" spans="1:11" x14ac:dyDescent="0.3">
      <c r="A200" s="5" t="s">
        <v>97</v>
      </c>
      <c r="B200" t="s">
        <v>17</v>
      </c>
      <c r="C200" s="1">
        <v>0</v>
      </c>
      <c r="D200" s="1">
        <v>0</v>
      </c>
      <c r="E200" s="1">
        <v>0</v>
      </c>
      <c r="F200" s="1">
        <v>554.4</v>
      </c>
      <c r="H200" t="str">
        <f t="shared" si="6"/>
        <v>Sasquatch AleSAVEA</v>
      </c>
      <c r="I200" t="str">
        <f>_xlfn.CONCAT(C200:D200:E200:F200)</f>
        <v>000554.4</v>
      </c>
      <c r="J200">
        <f>AVERAGE(C200:D200:E200:F200)</f>
        <v>138.6</v>
      </c>
      <c r="K200">
        <f t="shared" si="7"/>
        <v>0</v>
      </c>
    </row>
    <row r="201" spans="1:11" x14ac:dyDescent="0.3">
      <c r="A201" s="5" t="s">
        <v>97</v>
      </c>
      <c r="B201" t="s">
        <v>56</v>
      </c>
      <c r="C201" s="1">
        <v>0</v>
      </c>
      <c r="D201" s="1">
        <v>0</v>
      </c>
      <c r="E201" s="1">
        <v>0</v>
      </c>
      <c r="F201" s="1">
        <v>140</v>
      </c>
      <c r="H201" t="str">
        <f t="shared" si="6"/>
        <v>Sasquatch AleTHEBI</v>
      </c>
      <c r="I201" t="str">
        <f>_xlfn.CONCAT(C201:D201:E201:F201)</f>
        <v>000140</v>
      </c>
      <c r="J201">
        <f>AVERAGE(C201:D201:E201:F201)</f>
        <v>35</v>
      </c>
      <c r="K201">
        <f t="shared" si="7"/>
        <v>0</v>
      </c>
    </row>
    <row r="202" spans="1:11" x14ac:dyDescent="0.3">
      <c r="A202" s="5" t="s">
        <v>97</v>
      </c>
      <c r="B202" t="s">
        <v>63</v>
      </c>
      <c r="C202" s="1">
        <v>179.2</v>
      </c>
      <c r="D202" s="1">
        <v>105</v>
      </c>
      <c r="E202" s="1">
        <v>0</v>
      </c>
      <c r="F202" s="1">
        <v>0</v>
      </c>
      <c r="H202" t="str">
        <f t="shared" si="6"/>
        <v>Sasquatch AleTOMSP</v>
      </c>
      <c r="I202" t="str">
        <f>_xlfn.CONCAT(C202:D202:E202:F202)</f>
        <v>179.210500</v>
      </c>
      <c r="J202">
        <f>AVERAGE(C202:D202:E202:F202)</f>
        <v>71.05</v>
      </c>
      <c r="K202">
        <f t="shared" si="7"/>
        <v>0</v>
      </c>
    </row>
    <row r="203" spans="1:11" x14ac:dyDescent="0.3">
      <c r="A203" s="5" t="s">
        <v>97</v>
      </c>
      <c r="B203" t="s">
        <v>24</v>
      </c>
      <c r="C203" s="1">
        <v>0</v>
      </c>
      <c r="D203" s="1">
        <v>0</v>
      </c>
      <c r="E203" s="1">
        <v>0</v>
      </c>
      <c r="F203" s="1">
        <v>196</v>
      </c>
      <c r="H203" t="str">
        <f t="shared" si="6"/>
        <v>Sasquatch AleVAFFE</v>
      </c>
      <c r="I203" t="str">
        <f>_xlfn.CONCAT(C203:D203:E203:F203)</f>
        <v>000196</v>
      </c>
      <c r="J203">
        <f>AVERAGE(C203:D203:E203:F203)</f>
        <v>49</v>
      </c>
      <c r="K203">
        <f t="shared" si="7"/>
        <v>0</v>
      </c>
    </row>
    <row r="204" spans="1:11" x14ac:dyDescent="0.3">
      <c r="A204" s="5" t="s">
        <v>97</v>
      </c>
      <c r="B204" t="s">
        <v>19</v>
      </c>
      <c r="C204" s="1">
        <v>372.4</v>
      </c>
      <c r="D204" s="1">
        <v>0</v>
      </c>
      <c r="E204" s="1">
        <v>0</v>
      </c>
      <c r="F204" s="1">
        <v>0</v>
      </c>
      <c r="H204" t="str">
        <f t="shared" si="6"/>
        <v>Sasquatch AleWHITC</v>
      </c>
      <c r="I204" t="str">
        <f>_xlfn.CONCAT(C204:D204:E204:F204)</f>
        <v>372.4000</v>
      </c>
      <c r="J204">
        <f>AVERAGE(C204:D204:E204:F204)</f>
        <v>93.1</v>
      </c>
      <c r="K204">
        <f t="shared" si="7"/>
        <v>0</v>
      </c>
    </row>
    <row r="205" spans="1:11" x14ac:dyDescent="0.3">
      <c r="A205" s="5" t="s">
        <v>98</v>
      </c>
      <c r="B205" t="s">
        <v>11</v>
      </c>
      <c r="C205" s="1">
        <v>0</v>
      </c>
      <c r="D205" s="1">
        <v>3159</v>
      </c>
      <c r="E205" s="1">
        <v>0</v>
      </c>
      <c r="F205" s="1">
        <v>0</v>
      </c>
      <c r="H205" t="str">
        <f t="shared" si="6"/>
        <v>Sir Rodney's MarmaladeERNSH</v>
      </c>
      <c r="I205" t="str">
        <f>_xlfn.CONCAT(C205:D205:E205:F205)</f>
        <v>0315900</v>
      </c>
      <c r="J205">
        <f>AVERAGE(C205:D205:E205:F205)</f>
        <v>789.75</v>
      </c>
      <c r="K205">
        <f t="shared" si="7"/>
        <v>0</v>
      </c>
    </row>
    <row r="206" spans="1:11" x14ac:dyDescent="0.3">
      <c r="A206" s="5" t="s">
        <v>98</v>
      </c>
      <c r="B206" t="s">
        <v>13</v>
      </c>
      <c r="C206" s="1">
        <v>0</v>
      </c>
      <c r="D206" s="1">
        <v>0</v>
      </c>
      <c r="E206" s="1">
        <v>1701</v>
      </c>
      <c r="F206" s="1">
        <v>0</v>
      </c>
      <c r="H206" t="str">
        <f t="shared" si="6"/>
        <v>Sir Rodney's MarmaladeHUNGC</v>
      </c>
      <c r="I206" t="str">
        <f>_xlfn.CONCAT(C206:D206:E206:F206)</f>
        <v>0017010</v>
      </c>
      <c r="J206">
        <f>AVERAGE(C206:D206:E206:F206)</f>
        <v>425.25</v>
      </c>
      <c r="K206">
        <f t="shared" si="7"/>
        <v>0</v>
      </c>
    </row>
    <row r="207" spans="1:11" x14ac:dyDescent="0.3">
      <c r="A207" s="5" t="s">
        <v>98</v>
      </c>
      <c r="B207" t="s">
        <v>31</v>
      </c>
      <c r="C207" s="1">
        <v>0</v>
      </c>
      <c r="D207" s="1">
        <v>0</v>
      </c>
      <c r="E207" s="1">
        <v>1360.8</v>
      </c>
      <c r="F207" s="1">
        <v>0</v>
      </c>
      <c r="H207" t="str">
        <f t="shared" si="6"/>
        <v>Sir Rodney's MarmaladeLEHMS</v>
      </c>
      <c r="I207" t="str">
        <f>_xlfn.CONCAT(C207:D207:E207:F207)</f>
        <v>001360.80</v>
      </c>
      <c r="J207">
        <f>AVERAGE(C207:D207:E207:F207)</f>
        <v>340.2</v>
      </c>
      <c r="K207">
        <f t="shared" si="7"/>
        <v>0</v>
      </c>
    </row>
    <row r="208" spans="1:11" x14ac:dyDescent="0.3">
      <c r="A208" s="5" t="s">
        <v>98</v>
      </c>
      <c r="B208" t="s">
        <v>18</v>
      </c>
      <c r="C208" s="1">
        <v>0</v>
      </c>
      <c r="D208" s="1">
        <v>1093.5</v>
      </c>
      <c r="E208" s="1">
        <v>0</v>
      </c>
      <c r="F208" s="1">
        <v>0</v>
      </c>
      <c r="H208" t="str">
        <f t="shared" si="6"/>
        <v>Sir Rodney's MarmaladeSEVES</v>
      </c>
      <c r="I208" t="str">
        <f>_xlfn.CONCAT(C208:D208:E208:F208)</f>
        <v>01093.500</v>
      </c>
      <c r="J208">
        <f>AVERAGE(C208:D208:E208:F208)</f>
        <v>273.375</v>
      </c>
      <c r="K208">
        <f t="shared" si="7"/>
        <v>0</v>
      </c>
    </row>
    <row r="209" spans="1:11" x14ac:dyDescent="0.3">
      <c r="A209" s="5" t="s">
        <v>99</v>
      </c>
      <c r="B209" t="s">
        <v>96</v>
      </c>
      <c r="C209" s="1">
        <v>0</v>
      </c>
      <c r="D209" s="1">
        <v>0</v>
      </c>
      <c r="E209" s="1">
        <v>80</v>
      </c>
      <c r="F209" s="1">
        <v>0</v>
      </c>
      <c r="H209" t="str">
        <f t="shared" si="6"/>
        <v>Sir Rodney's SconesBLAUS</v>
      </c>
      <c r="I209" t="str">
        <f>_xlfn.CONCAT(C209:D209:E209:F209)</f>
        <v>00800</v>
      </c>
      <c r="J209">
        <f>AVERAGE(C209:D209:E209:F209)</f>
        <v>20</v>
      </c>
      <c r="K209">
        <f t="shared" si="7"/>
        <v>0</v>
      </c>
    </row>
    <row r="210" spans="1:11" x14ac:dyDescent="0.3">
      <c r="A210" s="5" t="s">
        <v>99</v>
      </c>
      <c r="B210" t="s">
        <v>27</v>
      </c>
      <c r="C210" s="1">
        <v>112</v>
      </c>
      <c r="D210" s="1">
        <v>150</v>
      </c>
      <c r="E210" s="1">
        <v>0</v>
      </c>
      <c r="F210" s="1">
        <v>0</v>
      </c>
      <c r="H210" t="str">
        <f t="shared" si="6"/>
        <v>Sir Rodney's SconesBSBEV</v>
      </c>
      <c r="I210" t="str">
        <f>_xlfn.CONCAT(C210:D210:E210:F210)</f>
        <v>11215000</v>
      </c>
      <c r="J210">
        <f>AVERAGE(C210:D210:E210:F210)</f>
        <v>65.5</v>
      </c>
      <c r="K210">
        <f t="shared" si="7"/>
        <v>0</v>
      </c>
    </row>
    <row r="211" spans="1:11" x14ac:dyDescent="0.3">
      <c r="A211" s="5" t="s">
        <v>99</v>
      </c>
      <c r="B211" t="s">
        <v>41</v>
      </c>
      <c r="C211" s="1">
        <v>0</v>
      </c>
      <c r="D211" s="1">
        <v>0</v>
      </c>
      <c r="E211" s="1">
        <v>0</v>
      </c>
      <c r="F211" s="1">
        <v>380</v>
      </c>
      <c r="H211" t="str">
        <f t="shared" si="6"/>
        <v>Sir Rodney's SconesCHOPS</v>
      </c>
      <c r="I211" t="str">
        <f>_xlfn.CONCAT(C211:D211:E211:F211)</f>
        <v>000380</v>
      </c>
      <c r="J211">
        <f>AVERAGE(C211:D211:E211:F211)</f>
        <v>95</v>
      </c>
      <c r="K211">
        <f t="shared" si="7"/>
        <v>0</v>
      </c>
    </row>
    <row r="212" spans="1:11" x14ac:dyDescent="0.3">
      <c r="A212" s="5" t="s">
        <v>99</v>
      </c>
      <c r="B212" t="s">
        <v>59</v>
      </c>
      <c r="C212" s="1">
        <v>0</v>
      </c>
      <c r="D212" s="1">
        <v>0</v>
      </c>
      <c r="E212" s="1">
        <v>60</v>
      </c>
      <c r="F212" s="1">
        <v>0</v>
      </c>
      <c r="H212" t="str">
        <f t="shared" si="6"/>
        <v>Sir Rodney's SconesDUMON</v>
      </c>
      <c r="I212" t="str">
        <f>_xlfn.CONCAT(C212:D212:E212:F212)</f>
        <v>00600</v>
      </c>
      <c r="J212">
        <f>AVERAGE(C212:D212:E212:F212)</f>
        <v>15</v>
      </c>
      <c r="K212">
        <f t="shared" si="7"/>
        <v>0</v>
      </c>
    </row>
    <row r="213" spans="1:11" x14ac:dyDescent="0.3">
      <c r="A213" s="5" t="s">
        <v>99</v>
      </c>
      <c r="B213" t="s">
        <v>11</v>
      </c>
      <c r="C213" s="1">
        <v>400</v>
      </c>
      <c r="D213" s="1">
        <v>0</v>
      </c>
      <c r="E213" s="1">
        <v>0</v>
      </c>
      <c r="F213" s="1">
        <v>0</v>
      </c>
      <c r="H213" t="str">
        <f t="shared" si="6"/>
        <v>Sir Rodney's SconesERNSH</v>
      </c>
      <c r="I213" t="str">
        <f>_xlfn.CONCAT(C213:D213:E213:F213)</f>
        <v>400000</v>
      </c>
      <c r="J213">
        <f>AVERAGE(C213:D213:E213:F213)</f>
        <v>100</v>
      </c>
      <c r="K213">
        <f t="shared" si="7"/>
        <v>0</v>
      </c>
    </row>
    <row r="214" spans="1:11" x14ac:dyDescent="0.3">
      <c r="A214" s="5" t="s">
        <v>99</v>
      </c>
      <c r="B214" t="s">
        <v>100</v>
      </c>
      <c r="C214" s="1">
        <v>0</v>
      </c>
      <c r="D214" s="1">
        <v>0</v>
      </c>
      <c r="E214" s="1">
        <v>0</v>
      </c>
      <c r="F214" s="1">
        <v>400</v>
      </c>
      <c r="H214" t="str">
        <f t="shared" si="6"/>
        <v>Sir Rodney's SconesFOLIG</v>
      </c>
      <c r="I214" t="str">
        <f>_xlfn.CONCAT(C214:D214:E214:F214)</f>
        <v>000400</v>
      </c>
      <c r="J214">
        <f>AVERAGE(C214:D214:E214:F214)</f>
        <v>100</v>
      </c>
      <c r="K214">
        <f t="shared" si="7"/>
        <v>0</v>
      </c>
    </row>
    <row r="215" spans="1:11" x14ac:dyDescent="0.3">
      <c r="A215" s="5" t="s">
        <v>99</v>
      </c>
      <c r="B215" t="s">
        <v>43</v>
      </c>
      <c r="C215" s="1">
        <v>0</v>
      </c>
      <c r="D215" s="1">
        <v>0</v>
      </c>
      <c r="E215" s="1">
        <v>225</v>
      </c>
      <c r="F215" s="1">
        <v>304</v>
      </c>
      <c r="H215" t="str">
        <f t="shared" si="6"/>
        <v>Sir Rodney's SconesFRANK</v>
      </c>
      <c r="I215" t="str">
        <f>_xlfn.CONCAT(C215:D215:E215:F215)</f>
        <v>00225304</v>
      </c>
      <c r="J215">
        <f>AVERAGE(C215:D215:E215:F215)</f>
        <v>132.25</v>
      </c>
      <c r="K215">
        <f t="shared" si="7"/>
        <v>0</v>
      </c>
    </row>
    <row r="216" spans="1:11" x14ac:dyDescent="0.3">
      <c r="A216" s="5" t="s">
        <v>99</v>
      </c>
      <c r="B216" t="s">
        <v>12</v>
      </c>
      <c r="C216" s="1">
        <v>0</v>
      </c>
      <c r="D216" s="1">
        <v>54</v>
      </c>
      <c r="E216" s="1">
        <v>0</v>
      </c>
      <c r="F216" s="1">
        <v>0</v>
      </c>
      <c r="H216" t="str">
        <f t="shared" si="6"/>
        <v>Sir Rodney's SconesGODOS</v>
      </c>
      <c r="I216" t="str">
        <f>_xlfn.CONCAT(C216:D216:E216:F216)</f>
        <v>05400</v>
      </c>
      <c r="J216">
        <f>AVERAGE(C216:D216:E216:F216)</f>
        <v>13.5</v>
      </c>
      <c r="K216">
        <f t="shared" si="7"/>
        <v>0</v>
      </c>
    </row>
    <row r="217" spans="1:11" x14ac:dyDescent="0.3">
      <c r="A217" s="5" t="s">
        <v>99</v>
      </c>
      <c r="B217" t="s">
        <v>90</v>
      </c>
      <c r="C217" s="1">
        <v>0</v>
      </c>
      <c r="D217" s="1">
        <v>0</v>
      </c>
      <c r="E217" s="1">
        <v>108</v>
      </c>
      <c r="F217" s="1">
        <v>0</v>
      </c>
      <c r="H217" t="str">
        <f t="shared" si="6"/>
        <v>Sir Rodney's SconesGREAL</v>
      </c>
      <c r="I217" t="str">
        <f>_xlfn.CONCAT(C217:D217:E217:F217)</f>
        <v>001080</v>
      </c>
      <c r="J217">
        <f>AVERAGE(C217:D217:E217:F217)</f>
        <v>27</v>
      </c>
      <c r="K217">
        <f t="shared" si="7"/>
        <v>0</v>
      </c>
    </row>
    <row r="218" spans="1:11" x14ac:dyDescent="0.3">
      <c r="A218" s="5" t="s">
        <v>99</v>
      </c>
      <c r="B218" t="s">
        <v>74</v>
      </c>
      <c r="C218" s="1">
        <v>272</v>
      </c>
      <c r="D218" s="1">
        <v>0</v>
      </c>
      <c r="E218" s="1">
        <v>0</v>
      </c>
      <c r="F218" s="1">
        <v>0</v>
      </c>
      <c r="H218" t="str">
        <f t="shared" si="6"/>
        <v>Sir Rodney's SconesKOENE</v>
      </c>
      <c r="I218" t="str">
        <f>_xlfn.CONCAT(C218:D218:E218:F218)</f>
        <v>272000</v>
      </c>
      <c r="J218">
        <f>AVERAGE(C218:D218:E218:F218)</f>
        <v>68</v>
      </c>
      <c r="K218">
        <f t="shared" si="7"/>
        <v>0</v>
      </c>
    </row>
    <row r="219" spans="1:11" x14ac:dyDescent="0.3">
      <c r="A219" s="5" t="s">
        <v>99</v>
      </c>
      <c r="B219" t="s">
        <v>101</v>
      </c>
      <c r="C219" s="1">
        <v>240</v>
      </c>
      <c r="D219" s="1">
        <v>0</v>
      </c>
      <c r="E219" s="1">
        <v>0</v>
      </c>
      <c r="F219" s="1">
        <v>0</v>
      </c>
      <c r="H219" t="str">
        <f t="shared" si="6"/>
        <v>Sir Rodney's SconesLILAS</v>
      </c>
      <c r="I219" t="str">
        <f>_xlfn.CONCAT(C219:D219:E219:F219)</f>
        <v>240000</v>
      </c>
      <c r="J219">
        <f>AVERAGE(C219:D219:E219:F219)</f>
        <v>60</v>
      </c>
      <c r="K219">
        <f t="shared" si="7"/>
        <v>0</v>
      </c>
    </row>
    <row r="220" spans="1:11" x14ac:dyDescent="0.3">
      <c r="A220" s="5" t="s">
        <v>99</v>
      </c>
      <c r="B220" t="s">
        <v>22</v>
      </c>
      <c r="C220" s="1">
        <v>0</v>
      </c>
      <c r="D220" s="1">
        <v>0</v>
      </c>
      <c r="E220" s="1">
        <v>0</v>
      </c>
      <c r="F220" s="1">
        <v>300</v>
      </c>
      <c r="H220" t="str">
        <f t="shared" si="6"/>
        <v>Sir Rodney's SconesLINOD</v>
      </c>
      <c r="I220" t="str">
        <f>_xlfn.CONCAT(C220:D220:E220:F220)</f>
        <v>000300</v>
      </c>
      <c r="J220">
        <f>AVERAGE(C220:D220:E220:F220)</f>
        <v>75</v>
      </c>
      <c r="K220">
        <f t="shared" si="7"/>
        <v>0</v>
      </c>
    </row>
    <row r="221" spans="1:11" x14ac:dyDescent="0.3">
      <c r="A221" s="5" t="s">
        <v>99</v>
      </c>
      <c r="B221" t="s">
        <v>46</v>
      </c>
      <c r="C221" s="1">
        <v>0</v>
      </c>
      <c r="D221" s="1">
        <v>0</v>
      </c>
      <c r="E221" s="1">
        <v>420</v>
      </c>
      <c r="F221" s="1">
        <v>0</v>
      </c>
      <c r="H221" t="str">
        <f t="shared" si="6"/>
        <v>Sir Rodney's SconesMEREP</v>
      </c>
      <c r="I221" t="str">
        <f>_xlfn.CONCAT(C221:D221:E221:F221)</f>
        <v>004200</v>
      </c>
      <c r="J221">
        <f>AVERAGE(C221:D221:E221:F221)</f>
        <v>105</v>
      </c>
      <c r="K221">
        <f t="shared" si="7"/>
        <v>0</v>
      </c>
    </row>
    <row r="222" spans="1:11" x14ac:dyDescent="0.3">
      <c r="A222" s="5" t="s">
        <v>99</v>
      </c>
      <c r="B222" t="s">
        <v>102</v>
      </c>
      <c r="C222" s="1">
        <v>96</v>
      </c>
      <c r="D222" s="1">
        <v>0</v>
      </c>
      <c r="E222" s="1">
        <v>0</v>
      </c>
      <c r="F222" s="1">
        <v>0</v>
      </c>
      <c r="H222" t="str">
        <f t="shared" si="6"/>
        <v>Sir Rodney's SconesOCEAN</v>
      </c>
      <c r="I222" t="str">
        <f>_xlfn.CONCAT(C222:D222:E222:F222)</f>
        <v>96000</v>
      </c>
      <c r="J222">
        <f>AVERAGE(C222:D222:E222:F222)</f>
        <v>24</v>
      </c>
      <c r="K222">
        <f t="shared" si="7"/>
        <v>0</v>
      </c>
    </row>
    <row r="223" spans="1:11" x14ac:dyDescent="0.3">
      <c r="A223" s="5" t="s">
        <v>99</v>
      </c>
      <c r="B223" t="s">
        <v>103</v>
      </c>
      <c r="C223" s="1">
        <v>126</v>
      </c>
      <c r="D223" s="1">
        <v>0</v>
      </c>
      <c r="E223" s="1">
        <v>0</v>
      </c>
      <c r="F223" s="1">
        <v>0</v>
      </c>
      <c r="H223" t="str">
        <f t="shared" si="6"/>
        <v>Sir Rodney's SconesPRINI</v>
      </c>
      <c r="I223" t="str">
        <f>_xlfn.CONCAT(C223:D223:E223:F223)</f>
        <v>126000</v>
      </c>
      <c r="J223">
        <f>AVERAGE(C223:D223:E223:F223)</f>
        <v>31.5</v>
      </c>
      <c r="K223">
        <f t="shared" si="7"/>
        <v>0</v>
      </c>
    </row>
    <row r="224" spans="1:11" x14ac:dyDescent="0.3">
      <c r="A224" s="5" t="s">
        <v>99</v>
      </c>
      <c r="B224" t="s">
        <v>35</v>
      </c>
      <c r="C224" s="1">
        <v>216</v>
      </c>
      <c r="D224" s="1">
        <v>0</v>
      </c>
      <c r="E224" s="1">
        <v>0</v>
      </c>
      <c r="F224" s="1">
        <v>0</v>
      </c>
      <c r="H224" t="str">
        <f t="shared" si="6"/>
        <v>Sir Rodney's SconesQUEEN</v>
      </c>
      <c r="I224" t="str">
        <f>_xlfn.CONCAT(C224:D224:E224:F224)</f>
        <v>216000</v>
      </c>
      <c r="J224">
        <f>AVERAGE(C224:D224:E224:F224)</f>
        <v>54</v>
      </c>
      <c r="K224">
        <f t="shared" si="7"/>
        <v>0</v>
      </c>
    </row>
    <row r="225" spans="1:11" x14ac:dyDescent="0.3">
      <c r="A225" s="5" t="s">
        <v>99</v>
      </c>
      <c r="B225" t="s">
        <v>23</v>
      </c>
      <c r="C225" s="1">
        <v>0</v>
      </c>
      <c r="D225" s="1">
        <v>0</v>
      </c>
      <c r="E225" s="1">
        <v>600</v>
      </c>
      <c r="F225" s="1">
        <v>0</v>
      </c>
      <c r="H225" t="str">
        <f t="shared" si="6"/>
        <v>Sir Rodney's SconesQUICK</v>
      </c>
      <c r="I225" t="str">
        <f>_xlfn.CONCAT(C225:D225:E225:F225)</f>
        <v>006000</v>
      </c>
      <c r="J225">
        <f>AVERAGE(C225:D225:E225:F225)</f>
        <v>150</v>
      </c>
      <c r="K225">
        <f t="shared" si="7"/>
        <v>0</v>
      </c>
    </row>
    <row r="226" spans="1:11" x14ac:dyDescent="0.3">
      <c r="A226" s="5" t="s">
        <v>99</v>
      </c>
      <c r="B226" t="s">
        <v>36</v>
      </c>
      <c r="C226" s="1">
        <v>0</v>
      </c>
      <c r="D226" s="1">
        <v>0</v>
      </c>
      <c r="E226" s="1">
        <v>0</v>
      </c>
      <c r="F226" s="1">
        <v>50</v>
      </c>
      <c r="H226" t="str">
        <f t="shared" si="6"/>
        <v>Sir Rodney's SconesRANCH</v>
      </c>
      <c r="I226" t="str">
        <f>_xlfn.CONCAT(C226:D226:E226:F226)</f>
        <v>00050</v>
      </c>
      <c r="J226">
        <f>AVERAGE(C226:D226:E226:F226)</f>
        <v>12.5</v>
      </c>
      <c r="K226">
        <f t="shared" si="7"/>
        <v>0</v>
      </c>
    </row>
    <row r="227" spans="1:11" x14ac:dyDescent="0.3">
      <c r="A227" s="5" t="s">
        <v>99</v>
      </c>
      <c r="B227" t="s">
        <v>93</v>
      </c>
      <c r="C227" s="1">
        <v>0</v>
      </c>
      <c r="D227" s="1">
        <v>0</v>
      </c>
      <c r="E227" s="1">
        <v>240</v>
      </c>
      <c r="F227" s="1">
        <v>0</v>
      </c>
      <c r="H227" t="str">
        <f t="shared" si="6"/>
        <v>Sir Rodney's SconesSIMOB</v>
      </c>
      <c r="I227" t="str">
        <f>_xlfn.CONCAT(C227:D227:E227:F227)</f>
        <v>002400</v>
      </c>
      <c r="J227">
        <f>AVERAGE(C227:D227:E227:F227)</f>
        <v>60</v>
      </c>
      <c r="K227">
        <f t="shared" si="7"/>
        <v>0</v>
      </c>
    </row>
    <row r="228" spans="1:11" x14ac:dyDescent="0.3">
      <c r="A228" s="5" t="s">
        <v>99</v>
      </c>
      <c r="B228" t="s">
        <v>71</v>
      </c>
      <c r="C228" s="1">
        <v>0</v>
      </c>
      <c r="D228" s="1">
        <v>320</v>
      </c>
      <c r="E228" s="1">
        <v>0</v>
      </c>
      <c r="F228" s="1">
        <v>0</v>
      </c>
      <c r="H228" t="str">
        <f t="shared" si="6"/>
        <v>Sir Rodney's SconesWANDK</v>
      </c>
      <c r="I228" t="str">
        <f>_xlfn.CONCAT(C228:D228:E228:F228)</f>
        <v>032000</v>
      </c>
      <c r="J228">
        <f>AVERAGE(C228:D228:E228:F228)</f>
        <v>80</v>
      </c>
      <c r="K228">
        <f t="shared" si="7"/>
        <v>0</v>
      </c>
    </row>
    <row r="229" spans="1:11" x14ac:dyDescent="0.3">
      <c r="A229" s="5" t="s">
        <v>99</v>
      </c>
      <c r="B229" t="s">
        <v>19</v>
      </c>
      <c r="C229" s="1">
        <v>0</v>
      </c>
      <c r="D229" s="1">
        <v>120</v>
      </c>
      <c r="E229" s="1">
        <v>0</v>
      </c>
      <c r="F229" s="1">
        <v>0</v>
      </c>
      <c r="H229" t="str">
        <f t="shared" si="6"/>
        <v>Sir Rodney's SconesWHITC</v>
      </c>
      <c r="I229" t="str">
        <f>_xlfn.CONCAT(C229:D229:E229:F229)</f>
        <v>012000</v>
      </c>
      <c r="J229">
        <f>AVERAGE(C229:D229:E229:F229)</f>
        <v>30</v>
      </c>
      <c r="K229">
        <f t="shared" si="7"/>
        <v>0</v>
      </c>
    </row>
    <row r="230" spans="1:11" x14ac:dyDescent="0.3">
      <c r="A230" s="5" t="s">
        <v>104</v>
      </c>
      <c r="B230" t="s">
        <v>8</v>
      </c>
      <c r="C230" s="1">
        <v>115.2</v>
      </c>
      <c r="D230" s="1">
        <v>0</v>
      </c>
      <c r="E230" s="1">
        <v>0</v>
      </c>
      <c r="F230" s="1">
        <v>0</v>
      </c>
      <c r="H230" t="str">
        <f t="shared" si="6"/>
        <v>Steeleye StoutBERGS</v>
      </c>
      <c r="I230" t="str">
        <f>_xlfn.CONCAT(C230:D230:E230:F230)</f>
        <v>115.2000</v>
      </c>
      <c r="J230">
        <f>AVERAGE(C230:D230:E230:F230)</f>
        <v>28.8</v>
      </c>
      <c r="K230">
        <f t="shared" si="7"/>
        <v>0</v>
      </c>
    </row>
    <row r="231" spans="1:11" x14ac:dyDescent="0.3">
      <c r="A231" s="5" t="s">
        <v>104</v>
      </c>
      <c r="B231" t="s">
        <v>27</v>
      </c>
      <c r="C231" s="1">
        <v>0</v>
      </c>
      <c r="D231" s="1">
        <v>360</v>
      </c>
      <c r="E231" s="1">
        <v>0</v>
      </c>
      <c r="F231" s="1">
        <v>0</v>
      </c>
      <c r="H231" t="str">
        <f t="shared" si="6"/>
        <v>Steeleye StoutBSBEV</v>
      </c>
      <c r="I231" t="str">
        <f>_xlfn.CONCAT(C231:D231:E231:F231)</f>
        <v>036000</v>
      </c>
      <c r="J231">
        <f>AVERAGE(C231:D231:E231:F231)</f>
        <v>90</v>
      </c>
      <c r="K231">
        <f t="shared" si="7"/>
        <v>0</v>
      </c>
    </row>
    <row r="232" spans="1:11" x14ac:dyDescent="0.3">
      <c r="A232" s="5" t="s">
        <v>104</v>
      </c>
      <c r="B232" t="s">
        <v>66</v>
      </c>
      <c r="C232" s="1">
        <v>0</v>
      </c>
      <c r="D232" s="1">
        <v>54</v>
      </c>
      <c r="E232" s="1">
        <v>0</v>
      </c>
      <c r="F232" s="1">
        <v>0</v>
      </c>
      <c r="H232" t="str">
        <f t="shared" si="6"/>
        <v>Steeleye StoutCACTU</v>
      </c>
      <c r="I232" t="str">
        <f>_xlfn.CONCAT(C232:D232:E232:F232)</f>
        <v>05400</v>
      </c>
      <c r="J232">
        <f>AVERAGE(C232:D232:E232:F232)</f>
        <v>13.5</v>
      </c>
      <c r="K232">
        <f t="shared" si="7"/>
        <v>0</v>
      </c>
    </row>
    <row r="233" spans="1:11" x14ac:dyDescent="0.3">
      <c r="A233" s="5" t="s">
        <v>104</v>
      </c>
      <c r="B233" t="s">
        <v>52</v>
      </c>
      <c r="C233" s="1">
        <v>504</v>
      </c>
      <c r="D233" s="1">
        <v>0</v>
      </c>
      <c r="E233" s="1">
        <v>0</v>
      </c>
      <c r="F233" s="1">
        <v>0</v>
      </c>
      <c r="H233" t="str">
        <f t="shared" si="6"/>
        <v>Steeleye StoutEASTC</v>
      </c>
      <c r="I233" t="str">
        <f>_xlfn.CONCAT(C233:D233:E233:F233)</f>
        <v>504000</v>
      </c>
      <c r="J233">
        <f>AVERAGE(C233:D233:E233:F233)</f>
        <v>126</v>
      </c>
      <c r="K233">
        <f t="shared" si="7"/>
        <v>0</v>
      </c>
    </row>
    <row r="234" spans="1:11" x14ac:dyDescent="0.3">
      <c r="A234" s="5" t="s">
        <v>104</v>
      </c>
      <c r="B234" t="s">
        <v>11</v>
      </c>
      <c r="C234" s="1">
        <v>0</v>
      </c>
      <c r="D234" s="1">
        <v>0</v>
      </c>
      <c r="E234" s="1">
        <v>405</v>
      </c>
      <c r="F234" s="1">
        <v>0</v>
      </c>
      <c r="H234" t="str">
        <f t="shared" si="6"/>
        <v>Steeleye StoutERNSH</v>
      </c>
      <c r="I234" t="str">
        <f>_xlfn.CONCAT(C234:D234:E234:F234)</f>
        <v>004050</v>
      </c>
      <c r="J234">
        <f>AVERAGE(C234:D234:E234:F234)</f>
        <v>101.25</v>
      </c>
      <c r="K234">
        <f t="shared" si="7"/>
        <v>0</v>
      </c>
    </row>
    <row r="235" spans="1:11" x14ac:dyDescent="0.3">
      <c r="A235" s="5" t="s">
        <v>104</v>
      </c>
      <c r="B235" t="s">
        <v>100</v>
      </c>
      <c r="C235" s="1">
        <v>0</v>
      </c>
      <c r="D235" s="1">
        <v>0</v>
      </c>
      <c r="E235" s="1">
        <v>0</v>
      </c>
      <c r="F235" s="1">
        <v>270</v>
      </c>
      <c r="H235" t="str">
        <f t="shared" si="6"/>
        <v>Steeleye StoutFOLIG</v>
      </c>
      <c r="I235" t="str">
        <f>_xlfn.CONCAT(C235:D235:E235:F235)</f>
        <v>000270</v>
      </c>
      <c r="J235">
        <f>AVERAGE(C235:D235:E235:F235)</f>
        <v>67.5</v>
      </c>
      <c r="K235">
        <f t="shared" si="7"/>
        <v>0</v>
      </c>
    </row>
    <row r="236" spans="1:11" x14ac:dyDescent="0.3">
      <c r="A236" s="5" t="s">
        <v>104</v>
      </c>
      <c r="B236" t="s">
        <v>43</v>
      </c>
      <c r="C236" s="1">
        <v>0</v>
      </c>
      <c r="D236" s="1">
        <v>0</v>
      </c>
      <c r="E236" s="1">
        <v>486</v>
      </c>
      <c r="F236" s="1">
        <v>0</v>
      </c>
      <c r="H236" t="str">
        <f t="shared" si="6"/>
        <v>Steeleye StoutFRANK</v>
      </c>
      <c r="I236" t="str">
        <f>_xlfn.CONCAT(C236:D236:E236:F236)</f>
        <v>004860</v>
      </c>
      <c r="J236">
        <f>AVERAGE(C236:D236:E236:F236)</f>
        <v>121.5</v>
      </c>
      <c r="K236">
        <f t="shared" si="7"/>
        <v>0</v>
      </c>
    </row>
    <row r="237" spans="1:11" x14ac:dyDescent="0.3">
      <c r="A237" s="5" t="s">
        <v>104</v>
      </c>
      <c r="B237" t="s">
        <v>44</v>
      </c>
      <c r="C237" s="1">
        <v>0</v>
      </c>
      <c r="D237" s="1">
        <v>306</v>
      </c>
      <c r="E237" s="1">
        <v>0</v>
      </c>
      <c r="F237" s="1">
        <v>0</v>
      </c>
      <c r="H237" t="str">
        <f t="shared" si="6"/>
        <v>Steeleye StoutFURIB</v>
      </c>
      <c r="I237" t="str">
        <f>_xlfn.CONCAT(C237:D237:E237:F237)</f>
        <v>030600</v>
      </c>
      <c r="J237">
        <f>AVERAGE(C237:D237:E237:F237)</f>
        <v>76.5</v>
      </c>
      <c r="K237">
        <f t="shared" si="7"/>
        <v>0</v>
      </c>
    </row>
    <row r="238" spans="1:11" x14ac:dyDescent="0.3">
      <c r="A238" s="5" t="s">
        <v>104</v>
      </c>
      <c r="B238" t="s">
        <v>90</v>
      </c>
      <c r="C238" s="1">
        <v>0</v>
      </c>
      <c r="D238" s="1">
        <v>0</v>
      </c>
      <c r="E238" s="1">
        <v>72</v>
      </c>
      <c r="F238" s="1">
        <v>0</v>
      </c>
      <c r="H238" t="str">
        <f t="shared" si="6"/>
        <v>Steeleye StoutGREAL</v>
      </c>
      <c r="I238" t="str">
        <f>_xlfn.CONCAT(C238:D238:E238:F238)</f>
        <v>00720</v>
      </c>
      <c r="J238">
        <f>AVERAGE(C238:D238:E238:F238)</f>
        <v>18</v>
      </c>
      <c r="K238">
        <f t="shared" si="7"/>
        <v>0</v>
      </c>
    </row>
    <row r="239" spans="1:11" x14ac:dyDescent="0.3">
      <c r="A239" s="5" t="s">
        <v>104</v>
      </c>
      <c r="B239" t="s">
        <v>22</v>
      </c>
      <c r="C239" s="1">
        <v>0</v>
      </c>
      <c r="D239" s="1">
        <v>0</v>
      </c>
      <c r="E239" s="1">
        <v>0</v>
      </c>
      <c r="F239" s="1">
        <v>121.5</v>
      </c>
      <c r="H239" t="str">
        <f t="shared" si="6"/>
        <v>Steeleye StoutLINOD</v>
      </c>
      <c r="I239" t="str">
        <f>_xlfn.CONCAT(C239:D239:E239:F239)</f>
        <v>000121.5</v>
      </c>
      <c r="J239">
        <f>AVERAGE(C239:D239:E239:F239)</f>
        <v>30.375</v>
      </c>
      <c r="K239">
        <f t="shared" si="7"/>
        <v>0</v>
      </c>
    </row>
    <row r="240" spans="1:11" x14ac:dyDescent="0.3">
      <c r="A240" s="5" t="s">
        <v>104</v>
      </c>
      <c r="B240" t="s">
        <v>46</v>
      </c>
      <c r="C240" s="1">
        <v>691.2</v>
      </c>
      <c r="D240" s="1">
        <v>0</v>
      </c>
      <c r="E240" s="1">
        <v>0</v>
      </c>
      <c r="F240" s="1">
        <v>0</v>
      </c>
      <c r="H240" t="str">
        <f t="shared" si="6"/>
        <v>Steeleye StoutMEREP</v>
      </c>
      <c r="I240" t="str">
        <f>_xlfn.CONCAT(C240:D240:E240:F240)</f>
        <v>691.2000</v>
      </c>
      <c r="J240">
        <f>AVERAGE(C240:D240:E240:F240)</f>
        <v>172.8</v>
      </c>
      <c r="K240">
        <f t="shared" si="7"/>
        <v>0</v>
      </c>
    </row>
    <row r="241" spans="1:11" x14ac:dyDescent="0.3">
      <c r="A241" s="5" t="s">
        <v>104</v>
      </c>
      <c r="B241" t="s">
        <v>105</v>
      </c>
      <c r="C241" s="1">
        <v>0</v>
      </c>
      <c r="D241" s="1">
        <v>0</v>
      </c>
      <c r="E241" s="1">
        <v>360</v>
      </c>
      <c r="F241" s="1">
        <v>378</v>
      </c>
      <c r="H241" t="str">
        <f t="shared" si="6"/>
        <v>Steeleye StoutQUEDE</v>
      </c>
      <c r="I241" t="str">
        <f>_xlfn.CONCAT(C241:D241:E241:F241)</f>
        <v>00360378</v>
      </c>
      <c r="J241">
        <f>AVERAGE(C241:D241:E241:F241)</f>
        <v>184.5</v>
      </c>
      <c r="K241">
        <f t="shared" si="7"/>
        <v>0</v>
      </c>
    </row>
    <row r="242" spans="1:11" x14ac:dyDescent="0.3">
      <c r="A242" s="5" t="s">
        <v>104</v>
      </c>
      <c r="B242" t="s">
        <v>83</v>
      </c>
      <c r="C242" s="1">
        <v>0</v>
      </c>
      <c r="D242" s="1">
        <v>540</v>
      </c>
      <c r="E242" s="1">
        <v>0</v>
      </c>
      <c r="F242" s="1">
        <v>0</v>
      </c>
      <c r="H242" t="str">
        <f t="shared" si="6"/>
        <v>Steeleye StoutVICTE</v>
      </c>
      <c r="I242" t="str">
        <f>_xlfn.CONCAT(C242:D242:E242:F242)</f>
        <v>054000</v>
      </c>
      <c r="J242">
        <f>AVERAGE(C242:D242:E242:F242)</f>
        <v>135</v>
      </c>
      <c r="K242">
        <f t="shared" si="7"/>
        <v>0</v>
      </c>
    </row>
    <row r="243" spans="1:11" x14ac:dyDescent="0.3">
      <c r="A243" s="5" t="s">
        <v>104</v>
      </c>
      <c r="B243" t="s">
        <v>49</v>
      </c>
      <c r="C243" s="1">
        <v>0</v>
      </c>
      <c r="D243" s="1">
        <v>108</v>
      </c>
      <c r="E243" s="1">
        <v>0</v>
      </c>
      <c r="F243" s="1">
        <v>0</v>
      </c>
      <c r="H243" t="str">
        <f t="shared" si="6"/>
        <v>Steeleye StoutWARTH</v>
      </c>
      <c r="I243" t="str">
        <f>_xlfn.CONCAT(C243:D243:E243:F243)</f>
        <v>010800</v>
      </c>
      <c r="J243">
        <f>AVERAGE(C243:D243:E243:F243)</f>
        <v>27</v>
      </c>
      <c r="K243">
        <f t="shared" si="7"/>
        <v>0</v>
      </c>
    </row>
    <row r="244" spans="1:11" x14ac:dyDescent="0.3">
      <c r="A244" s="5" t="s">
        <v>104</v>
      </c>
      <c r="B244" t="s">
        <v>19</v>
      </c>
      <c r="C244" s="1">
        <v>0</v>
      </c>
      <c r="D244" s="1">
        <v>0</v>
      </c>
      <c r="E244" s="1">
        <v>0</v>
      </c>
      <c r="F244" s="1">
        <v>504</v>
      </c>
      <c r="H244" t="str">
        <f t="shared" si="6"/>
        <v>Steeleye StoutWHITC</v>
      </c>
      <c r="I244" t="str">
        <f>_xlfn.CONCAT(C244:D244:E244:F244)</f>
        <v>000504</v>
      </c>
      <c r="J244">
        <f>AVERAGE(C244:D244:E244:F244)</f>
        <v>126</v>
      </c>
      <c r="K244">
        <f t="shared" si="7"/>
        <v>0</v>
      </c>
    </row>
    <row r="245" spans="1:11" x14ac:dyDescent="0.3">
      <c r="A245" s="5" t="s">
        <v>106</v>
      </c>
      <c r="B245" t="s">
        <v>42</v>
      </c>
      <c r="C245" s="1">
        <v>124.83</v>
      </c>
      <c r="D245" s="1">
        <v>0</v>
      </c>
      <c r="E245" s="1">
        <v>0</v>
      </c>
      <c r="F245" s="1">
        <v>0</v>
      </c>
      <c r="H245" t="str">
        <f t="shared" si="6"/>
        <v>Teatime Chocolate BiscuitsFAMIA</v>
      </c>
      <c r="I245" t="str">
        <f>_xlfn.CONCAT(C245:D245:E245:F245)</f>
        <v>124.83000</v>
      </c>
      <c r="J245">
        <f>AVERAGE(C245:D245:E245:F245)</f>
        <v>31.2075</v>
      </c>
      <c r="K245">
        <f t="shared" si="7"/>
        <v>0</v>
      </c>
    </row>
    <row r="246" spans="1:11" x14ac:dyDescent="0.3">
      <c r="A246" s="5" t="s">
        <v>106</v>
      </c>
      <c r="B246" t="s">
        <v>43</v>
      </c>
      <c r="C246" s="1">
        <v>0</v>
      </c>
      <c r="D246" s="1">
        <v>0</v>
      </c>
      <c r="E246" s="1">
        <v>124.2</v>
      </c>
      <c r="F246" s="1">
        <v>0</v>
      </c>
      <c r="H246" t="str">
        <f t="shared" si="6"/>
        <v>Teatime Chocolate BiscuitsFRANK</v>
      </c>
      <c r="I246" t="str">
        <f>_xlfn.CONCAT(C246:D246:E246:F246)</f>
        <v>00124.20</v>
      </c>
      <c r="J246">
        <f>AVERAGE(C246:D246:E246:F246)</f>
        <v>31.05</v>
      </c>
      <c r="K246">
        <f t="shared" si="7"/>
        <v>0</v>
      </c>
    </row>
    <row r="247" spans="1:11" x14ac:dyDescent="0.3">
      <c r="A247" s="5" t="s">
        <v>106</v>
      </c>
      <c r="B247" t="s">
        <v>28</v>
      </c>
      <c r="C247" s="1">
        <v>0</v>
      </c>
      <c r="D247" s="1">
        <v>0</v>
      </c>
      <c r="E247" s="1">
        <v>0</v>
      </c>
      <c r="F247" s="1">
        <v>46</v>
      </c>
      <c r="H247" t="str">
        <f t="shared" si="6"/>
        <v>Teatime Chocolate BiscuitsFRANS</v>
      </c>
      <c r="I247" t="str">
        <f>_xlfn.CONCAT(C247:D247:E247:F247)</f>
        <v>00046</v>
      </c>
      <c r="J247">
        <f>AVERAGE(C247:D247:E247:F247)</f>
        <v>11.5</v>
      </c>
      <c r="K247">
        <f t="shared" si="7"/>
        <v>0</v>
      </c>
    </row>
    <row r="248" spans="1:11" x14ac:dyDescent="0.3">
      <c r="A248" s="5" t="s">
        <v>106</v>
      </c>
      <c r="B248" t="s">
        <v>12</v>
      </c>
      <c r="C248" s="1">
        <v>0</v>
      </c>
      <c r="D248" s="1">
        <v>92</v>
      </c>
      <c r="E248" s="1">
        <v>0</v>
      </c>
      <c r="F248" s="1">
        <v>0</v>
      </c>
      <c r="H248" t="str">
        <f t="shared" si="6"/>
        <v>Teatime Chocolate BiscuitsGODOS</v>
      </c>
      <c r="I248" t="str">
        <f>_xlfn.CONCAT(C248:D248:E248:F248)</f>
        <v>09200</v>
      </c>
      <c r="J248">
        <f>AVERAGE(C248:D248:E248:F248)</f>
        <v>23</v>
      </c>
      <c r="K248">
        <f t="shared" si="7"/>
        <v>0</v>
      </c>
    </row>
    <row r="249" spans="1:11" x14ac:dyDescent="0.3">
      <c r="A249" s="5" t="s">
        <v>106</v>
      </c>
      <c r="B249" t="s">
        <v>90</v>
      </c>
      <c r="C249" s="1">
        <v>0</v>
      </c>
      <c r="D249" s="1">
        <v>0</v>
      </c>
      <c r="E249" s="1">
        <v>248.4</v>
      </c>
      <c r="F249" s="1">
        <v>0</v>
      </c>
      <c r="H249" t="str">
        <f t="shared" si="6"/>
        <v>Teatime Chocolate BiscuitsGREAL</v>
      </c>
      <c r="I249" t="str">
        <f>_xlfn.CONCAT(C249:D249:E249:F249)</f>
        <v>00248.40</v>
      </c>
      <c r="J249">
        <f>AVERAGE(C249:D249:E249:F249)</f>
        <v>62.1</v>
      </c>
      <c r="K249">
        <f t="shared" si="7"/>
        <v>0</v>
      </c>
    </row>
    <row r="250" spans="1:11" x14ac:dyDescent="0.3">
      <c r="A250" s="5" t="s">
        <v>106</v>
      </c>
      <c r="B250" t="s">
        <v>91</v>
      </c>
      <c r="C250" s="1">
        <v>0</v>
      </c>
      <c r="D250" s="1">
        <v>0</v>
      </c>
      <c r="E250" s="1">
        <v>46</v>
      </c>
      <c r="F250" s="1">
        <v>0</v>
      </c>
      <c r="H250" t="str">
        <f t="shared" si="6"/>
        <v>Teatime Chocolate BiscuitsISLAT</v>
      </c>
      <c r="I250" t="str">
        <f>_xlfn.CONCAT(C250:D250:E250:F250)</f>
        <v>00460</v>
      </c>
      <c r="J250">
        <f>AVERAGE(C250:D250:E250:F250)</f>
        <v>11.5</v>
      </c>
      <c r="K250">
        <f t="shared" si="7"/>
        <v>0</v>
      </c>
    </row>
    <row r="251" spans="1:11" x14ac:dyDescent="0.3">
      <c r="A251" s="5" t="s">
        <v>106</v>
      </c>
      <c r="B251" t="s">
        <v>22</v>
      </c>
      <c r="C251" s="1">
        <v>0</v>
      </c>
      <c r="D251" s="1">
        <v>0</v>
      </c>
      <c r="E251" s="1">
        <v>0</v>
      </c>
      <c r="F251" s="1">
        <v>48.3</v>
      </c>
      <c r="H251" t="str">
        <f t="shared" si="6"/>
        <v>Teatime Chocolate BiscuitsLINOD</v>
      </c>
      <c r="I251" t="str">
        <f>_xlfn.CONCAT(C251:D251:E251:F251)</f>
        <v>00048.3</v>
      </c>
      <c r="J251">
        <f>AVERAGE(C251:D251:E251:F251)</f>
        <v>12.074999999999999</v>
      </c>
      <c r="K251">
        <f t="shared" si="7"/>
        <v>0</v>
      </c>
    </row>
    <row r="252" spans="1:11" x14ac:dyDescent="0.3">
      <c r="A252" s="5" t="s">
        <v>106</v>
      </c>
      <c r="B252" t="s">
        <v>105</v>
      </c>
      <c r="C252" s="1">
        <v>24.82</v>
      </c>
      <c r="D252" s="1">
        <v>0</v>
      </c>
      <c r="E252" s="1">
        <v>276</v>
      </c>
      <c r="F252" s="1">
        <v>0</v>
      </c>
      <c r="H252" t="str">
        <f t="shared" si="6"/>
        <v>Teatime Chocolate BiscuitsQUEDE</v>
      </c>
      <c r="I252" t="str">
        <f>_xlfn.CONCAT(C252:D252:E252:F252)</f>
        <v>24.8202760</v>
      </c>
      <c r="J252">
        <f>AVERAGE(C252:D252:E252:F252)</f>
        <v>75.204999999999998</v>
      </c>
      <c r="K252">
        <f t="shared" si="7"/>
        <v>0</v>
      </c>
    </row>
    <row r="253" spans="1:11" x14ac:dyDescent="0.3">
      <c r="A253" s="5" t="s">
        <v>106</v>
      </c>
      <c r="B253" t="s">
        <v>35</v>
      </c>
      <c r="C253" s="1">
        <v>36.5</v>
      </c>
      <c r="D253" s="1">
        <v>0</v>
      </c>
      <c r="E253" s="1">
        <v>0</v>
      </c>
      <c r="F253" s="1">
        <v>0</v>
      </c>
      <c r="H253" t="str">
        <f t="shared" si="6"/>
        <v>Teatime Chocolate BiscuitsQUEEN</v>
      </c>
      <c r="I253" t="str">
        <f>_xlfn.CONCAT(C253:D253:E253:F253)</f>
        <v>36.5000</v>
      </c>
      <c r="J253">
        <f>AVERAGE(C253:D253:E253:F253)</f>
        <v>9.125</v>
      </c>
      <c r="K253">
        <f t="shared" si="7"/>
        <v>0</v>
      </c>
    </row>
    <row r="254" spans="1:11" x14ac:dyDescent="0.3">
      <c r="A254" s="5" t="s">
        <v>106</v>
      </c>
      <c r="B254" t="s">
        <v>23</v>
      </c>
      <c r="C254" s="1">
        <v>0</v>
      </c>
      <c r="D254" s="1">
        <v>0</v>
      </c>
      <c r="E254" s="1">
        <v>0</v>
      </c>
      <c r="F254" s="1">
        <v>437</v>
      </c>
      <c r="H254" t="str">
        <f t="shared" si="6"/>
        <v>Teatime Chocolate BiscuitsQUICK</v>
      </c>
      <c r="I254" t="str">
        <f>_xlfn.CONCAT(C254:D254:E254:F254)</f>
        <v>000437</v>
      </c>
      <c r="J254">
        <f>AVERAGE(C254:D254:E254:F254)</f>
        <v>109.25</v>
      </c>
      <c r="K254">
        <f t="shared" si="7"/>
        <v>0</v>
      </c>
    </row>
    <row r="255" spans="1:11" x14ac:dyDescent="0.3">
      <c r="A255" s="5" t="s">
        <v>106</v>
      </c>
      <c r="B255" t="s">
        <v>47</v>
      </c>
      <c r="C255" s="1">
        <v>292</v>
      </c>
      <c r="D255" s="1">
        <v>0</v>
      </c>
      <c r="E255" s="1">
        <v>0</v>
      </c>
      <c r="F255" s="1">
        <v>0</v>
      </c>
      <c r="H255" t="str">
        <f t="shared" si="6"/>
        <v>Teatime Chocolate BiscuitsRICAR</v>
      </c>
      <c r="I255" t="str">
        <f>_xlfn.CONCAT(C255:D255:E255:F255)</f>
        <v>292000</v>
      </c>
      <c r="J255">
        <f>AVERAGE(C255:D255:E255:F255)</f>
        <v>73</v>
      </c>
      <c r="K255">
        <f t="shared" si="7"/>
        <v>0</v>
      </c>
    </row>
    <row r="256" spans="1:11" x14ac:dyDescent="0.3">
      <c r="A256" s="5" t="s">
        <v>106</v>
      </c>
      <c r="B256" t="s">
        <v>17</v>
      </c>
      <c r="C256" s="1">
        <v>0</v>
      </c>
      <c r="D256" s="1">
        <v>257.60000000000002</v>
      </c>
      <c r="E256" s="1">
        <v>0</v>
      </c>
      <c r="F256" s="1">
        <v>110.4</v>
      </c>
      <c r="H256" t="str">
        <f t="shared" si="6"/>
        <v>Teatime Chocolate BiscuitsSAVEA</v>
      </c>
      <c r="I256" t="str">
        <f>_xlfn.CONCAT(C256:D256:E256:F256)</f>
        <v>0257.60110.4</v>
      </c>
      <c r="J256">
        <f>AVERAGE(C256:D256:E256:F256)</f>
        <v>92</v>
      </c>
      <c r="K256">
        <f t="shared" si="7"/>
        <v>0</v>
      </c>
    </row>
    <row r="257" spans="1:11" x14ac:dyDescent="0.3">
      <c r="A257" s="5" t="s">
        <v>106</v>
      </c>
      <c r="B257" t="s">
        <v>69</v>
      </c>
      <c r="C257" s="1">
        <v>153.30000000000001</v>
      </c>
      <c r="D257" s="1">
        <v>0</v>
      </c>
      <c r="E257" s="1">
        <v>0</v>
      </c>
      <c r="F257" s="1">
        <v>0</v>
      </c>
      <c r="H257" t="str">
        <f t="shared" si="6"/>
        <v>Teatime Chocolate BiscuitsSUPRD</v>
      </c>
      <c r="I257" t="str">
        <f>_xlfn.CONCAT(C257:D257:E257:F257)</f>
        <v>153.3000</v>
      </c>
      <c r="J257">
        <f>AVERAGE(C257:D257:E257:F257)</f>
        <v>38.325000000000003</v>
      </c>
      <c r="K257">
        <f t="shared" si="7"/>
        <v>0</v>
      </c>
    </row>
    <row r="258" spans="1:11" x14ac:dyDescent="0.3">
      <c r="A258" s="5" t="s">
        <v>106</v>
      </c>
      <c r="B258" t="s">
        <v>63</v>
      </c>
      <c r="C258" s="1">
        <v>166.44</v>
      </c>
      <c r="D258" s="1">
        <v>0</v>
      </c>
      <c r="E258" s="1">
        <v>0</v>
      </c>
      <c r="F258" s="1">
        <v>0</v>
      </c>
      <c r="H258" t="str">
        <f t="shared" ref="H258:H321" si="8">_xlfn.CONCAT(A258:B258)</f>
        <v>Teatime Chocolate BiscuitsTOMSP</v>
      </c>
      <c r="I258" t="str">
        <f>_xlfn.CONCAT(C258:D258:E258:F258)</f>
        <v>166.44000</v>
      </c>
      <c r="J258">
        <f>AVERAGE(C258:D258:E258:F258)</f>
        <v>41.61</v>
      </c>
      <c r="K258">
        <f t="shared" si="7"/>
        <v>0</v>
      </c>
    </row>
    <row r="259" spans="1:11" x14ac:dyDescent="0.3">
      <c r="A259" s="5" t="s">
        <v>106</v>
      </c>
      <c r="B259" t="s">
        <v>70</v>
      </c>
      <c r="C259" s="1">
        <v>0</v>
      </c>
      <c r="D259" s="1">
        <v>0</v>
      </c>
      <c r="E259" s="1">
        <v>64.400000000000006</v>
      </c>
      <c r="F259" s="1">
        <v>0</v>
      </c>
      <c r="H259" t="str">
        <f t="shared" si="8"/>
        <v>Teatime Chocolate BiscuitsTORTU</v>
      </c>
      <c r="I259" t="str">
        <f>_xlfn.CONCAT(C259:D259:E259:F259)</f>
        <v>0064.40</v>
      </c>
      <c r="J259">
        <f>AVERAGE(C259:D259:E259:F259)</f>
        <v>16.100000000000001</v>
      </c>
      <c r="K259">
        <f t="shared" ref="K259:K280" si="9">C259*D259*E259*F259</f>
        <v>0</v>
      </c>
    </row>
    <row r="260" spans="1:11" x14ac:dyDescent="0.3">
      <c r="A260" s="5" t="s">
        <v>106</v>
      </c>
      <c r="B260" t="s">
        <v>71</v>
      </c>
      <c r="C260" s="1">
        <v>0</v>
      </c>
      <c r="D260" s="1">
        <v>0</v>
      </c>
      <c r="E260" s="1">
        <v>82.8</v>
      </c>
      <c r="F260" s="1">
        <v>0</v>
      </c>
      <c r="H260" t="str">
        <f t="shared" si="8"/>
        <v>Teatime Chocolate BiscuitsWANDK</v>
      </c>
      <c r="I260" t="str">
        <f>_xlfn.CONCAT(C260:D260:E260:F260)</f>
        <v>0082.80</v>
      </c>
      <c r="J260">
        <f>AVERAGE(C260:D260:E260:F260)</f>
        <v>20.7</v>
      </c>
      <c r="K260">
        <f t="shared" si="9"/>
        <v>0</v>
      </c>
    </row>
    <row r="261" spans="1:11" x14ac:dyDescent="0.3">
      <c r="A261" s="5" t="s">
        <v>106</v>
      </c>
      <c r="B261" t="s">
        <v>49</v>
      </c>
      <c r="C261" s="1">
        <v>146</v>
      </c>
      <c r="D261" s="1">
        <v>0</v>
      </c>
      <c r="E261" s="1">
        <v>0</v>
      </c>
      <c r="F261" s="1">
        <v>0</v>
      </c>
      <c r="H261" t="str">
        <f t="shared" si="8"/>
        <v>Teatime Chocolate BiscuitsWARTH</v>
      </c>
      <c r="I261" t="str">
        <f>_xlfn.CONCAT(C261:D261:E261:F261)</f>
        <v>146000</v>
      </c>
      <c r="J261">
        <f>AVERAGE(C261:D261:E261:F261)</f>
        <v>36.5</v>
      </c>
      <c r="K261">
        <f t="shared" si="9"/>
        <v>0</v>
      </c>
    </row>
    <row r="262" spans="1:11" x14ac:dyDescent="0.3">
      <c r="A262" s="5" t="s">
        <v>106</v>
      </c>
      <c r="B262" t="s">
        <v>76</v>
      </c>
      <c r="C262" s="1">
        <v>0</v>
      </c>
      <c r="D262" s="1">
        <v>0</v>
      </c>
      <c r="E262" s="1">
        <v>0</v>
      </c>
      <c r="F262" s="1">
        <v>209.76</v>
      </c>
      <c r="H262" t="str">
        <f t="shared" si="8"/>
        <v>Teatime Chocolate BiscuitsWELLI</v>
      </c>
      <c r="I262" t="str">
        <f>_xlfn.CONCAT(C262:D262:E262:F262)</f>
        <v>000209.76</v>
      </c>
      <c r="J262">
        <f>AVERAGE(C262:D262:E262:F262)</f>
        <v>52.44</v>
      </c>
      <c r="K262">
        <f t="shared" si="9"/>
        <v>0</v>
      </c>
    </row>
    <row r="263" spans="1:11" x14ac:dyDescent="0.3">
      <c r="A263" s="5" t="s">
        <v>107</v>
      </c>
      <c r="B263" t="s">
        <v>26</v>
      </c>
      <c r="C263" s="1">
        <v>0</v>
      </c>
      <c r="D263" s="1">
        <v>1275</v>
      </c>
      <c r="E263" s="1">
        <v>0</v>
      </c>
      <c r="F263" s="1">
        <v>0</v>
      </c>
      <c r="H263" t="str">
        <f t="shared" si="8"/>
        <v>Uncle Bob's Organic Dried PearsBONAP</v>
      </c>
      <c r="I263" t="str">
        <f>_xlfn.CONCAT(C263:D263:E263:F263)</f>
        <v>0127500</v>
      </c>
      <c r="J263">
        <f>AVERAGE(C263:D263:E263:F263)</f>
        <v>318.75</v>
      </c>
      <c r="K263">
        <f t="shared" si="9"/>
        <v>0</v>
      </c>
    </row>
    <row r="264" spans="1:11" x14ac:dyDescent="0.3">
      <c r="A264" s="5" t="s">
        <v>107</v>
      </c>
      <c r="B264" t="s">
        <v>27</v>
      </c>
      <c r="C264" s="1">
        <v>720</v>
      </c>
      <c r="D264" s="1">
        <v>0</v>
      </c>
      <c r="E264" s="1">
        <v>0</v>
      </c>
      <c r="F264" s="1">
        <v>0</v>
      </c>
      <c r="H264" t="str">
        <f t="shared" si="8"/>
        <v>Uncle Bob's Organic Dried PearsBSBEV</v>
      </c>
      <c r="I264" t="str">
        <f>_xlfn.CONCAT(C264:D264:E264:F264)</f>
        <v>720000</v>
      </c>
      <c r="J264">
        <f>AVERAGE(C264:D264:E264:F264)</f>
        <v>180</v>
      </c>
      <c r="K264">
        <f t="shared" si="9"/>
        <v>0</v>
      </c>
    </row>
    <row r="265" spans="1:11" x14ac:dyDescent="0.3">
      <c r="A265" s="5" t="s">
        <v>107</v>
      </c>
      <c r="B265" t="s">
        <v>100</v>
      </c>
      <c r="C265" s="1">
        <v>0</v>
      </c>
      <c r="D265" s="1">
        <v>0</v>
      </c>
      <c r="E265" s="1">
        <v>1050</v>
      </c>
      <c r="F265" s="1">
        <v>0</v>
      </c>
      <c r="H265" t="str">
        <f t="shared" si="8"/>
        <v>Uncle Bob's Organic Dried PearsFOLIG</v>
      </c>
      <c r="I265" t="str">
        <f>_xlfn.CONCAT(C265:D265:E265:F265)</f>
        <v>0010500</v>
      </c>
      <c r="J265">
        <f>AVERAGE(C265:D265:E265:F265)</f>
        <v>262.5</v>
      </c>
      <c r="K265">
        <f t="shared" si="9"/>
        <v>0</v>
      </c>
    </row>
    <row r="266" spans="1:11" x14ac:dyDescent="0.3">
      <c r="A266" s="5" t="s">
        <v>107</v>
      </c>
      <c r="B266" t="s">
        <v>45</v>
      </c>
      <c r="C266" s="1">
        <v>0</v>
      </c>
      <c r="D266" s="1">
        <v>0</v>
      </c>
      <c r="E266" s="1">
        <v>0</v>
      </c>
      <c r="F266" s="1">
        <v>76.5</v>
      </c>
      <c r="H266" t="str">
        <f t="shared" si="8"/>
        <v>Uncle Bob's Organic Dried PearsGOURL</v>
      </c>
      <c r="I266" t="str">
        <f>_xlfn.CONCAT(C266:D266:E266:F266)</f>
        <v>00076.5</v>
      </c>
      <c r="J266">
        <f>AVERAGE(C266:D266:E266:F266)</f>
        <v>19.125</v>
      </c>
      <c r="K266">
        <f t="shared" si="9"/>
        <v>0</v>
      </c>
    </row>
    <row r="267" spans="1:11" x14ac:dyDescent="0.3">
      <c r="A267" s="5" t="s">
        <v>107</v>
      </c>
      <c r="B267" t="s">
        <v>33</v>
      </c>
      <c r="C267" s="1">
        <v>0</v>
      </c>
      <c r="D267" s="1">
        <v>0</v>
      </c>
      <c r="E267" s="1">
        <v>0</v>
      </c>
      <c r="F267" s="1">
        <v>1050</v>
      </c>
      <c r="H267" t="str">
        <f t="shared" si="8"/>
        <v>Uncle Bob's Organic Dried PearsOTTIK</v>
      </c>
      <c r="I267" t="str">
        <f>_xlfn.CONCAT(C267:D267:E267:F267)</f>
        <v>0001050</v>
      </c>
      <c r="J267">
        <f>AVERAGE(C267:D267:E267:F267)</f>
        <v>262.5</v>
      </c>
      <c r="K267">
        <f t="shared" si="9"/>
        <v>0</v>
      </c>
    </row>
    <row r="268" spans="1:11" x14ac:dyDescent="0.3">
      <c r="A268" s="5" t="s">
        <v>107</v>
      </c>
      <c r="B268" t="s">
        <v>23</v>
      </c>
      <c r="C268" s="1">
        <v>0</v>
      </c>
      <c r="D268" s="1">
        <v>0</v>
      </c>
      <c r="E268" s="1">
        <v>0</v>
      </c>
      <c r="F268" s="1">
        <v>2700</v>
      </c>
      <c r="H268" t="str">
        <f t="shared" si="8"/>
        <v>Uncle Bob's Organic Dried PearsQUICK</v>
      </c>
      <c r="I268" t="str">
        <f>_xlfn.CONCAT(C268:D268:E268:F268)</f>
        <v>0002700</v>
      </c>
      <c r="J268">
        <f>AVERAGE(C268:D268:E268:F268)</f>
        <v>675</v>
      </c>
      <c r="K268">
        <f t="shared" si="9"/>
        <v>0</v>
      </c>
    </row>
    <row r="269" spans="1:11" x14ac:dyDescent="0.3">
      <c r="A269" s="5" t="s">
        <v>107</v>
      </c>
      <c r="B269" t="s">
        <v>17</v>
      </c>
      <c r="C269" s="1">
        <v>0</v>
      </c>
      <c r="D269" s="1">
        <v>0</v>
      </c>
      <c r="E269" s="1">
        <v>1350</v>
      </c>
      <c r="F269" s="1">
        <v>0</v>
      </c>
      <c r="H269" t="str">
        <f t="shared" si="8"/>
        <v>Uncle Bob's Organic Dried PearsSAVEA</v>
      </c>
      <c r="I269" t="str">
        <f>_xlfn.CONCAT(C269:D269:E269:F269)</f>
        <v>0013500</v>
      </c>
      <c r="J269">
        <f>AVERAGE(C269:D269:E269:F269)</f>
        <v>337.5</v>
      </c>
      <c r="K269">
        <f t="shared" si="9"/>
        <v>0</v>
      </c>
    </row>
    <row r="270" spans="1:11" x14ac:dyDescent="0.3">
      <c r="A270" s="5" t="s">
        <v>107</v>
      </c>
      <c r="B270" t="s">
        <v>24</v>
      </c>
      <c r="C270" s="1">
        <v>0</v>
      </c>
      <c r="D270" s="1">
        <v>0</v>
      </c>
      <c r="E270" s="1">
        <v>300</v>
      </c>
      <c r="F270" s="1">
        <v>0</v>
      </c>
      <c r="H270" t="str">
        <f t="shared" si="8"/>
        <v>Uncle Bob's Organic Dried PearsVAFFE</v>
      </c>
      <c r="I270" t="str">
        <f>_xlfn.CONCAT(C270:D270:E270:F270)</f>
        <v>003000</v>
      </c>
      <c r="J270">
        <f>AVERAGE(C270:D270:E270:F270)</f>
        <v>75</v>
      </c>
      <c r="K270">
        <f t="shared" si="9"/>
        <v>0</v>
      </c>
    </row>
    <row r="271" spans="1:11" x14ac:dyDescent="0.3">
      <c r="A271" s="5" t="s">
        <v>107</v>
      </c>
      <c r="B271" t="s">
        <v>83</v>
      </c>
      <c r="C271" s="1">
        <v>364.8</v>
      </c>
      <c r="D271" s="1">
        <v>300</v>
      </c>
      <c r="E271" s="1">
        <v>0</v>
      </c>
      <c r="F271" s="1">
        <v>0</v>
      </c>
      <c r="H271" t="str">
        <f t="shared" si="8"/>
        <v>Uncle Bob's Organic Dried PearsVICTE</v>
      </c>
      <c r="I271" t="str">
        <f>_xlfn.CONCAT(C271:D271:E271:F271)</f>
        <v>364.830000</v>
      </c>
      <c r="J271">
        <f>AVERAGE(C271:D271:E271:F271)</f>
        <v>166.2</v>
      </c>
      <c r="K271">
        <f t="shared" si="9"/>
        <v>0</v>
      </c>
    </row>
    <row r="272" spans="1:11" x14ac:dyDescent="0.3">
      <c r="A272" s="5" t="s">
        <v>109</v>
      </c>
      <c r="B272" t="s">
        <v>21</v>
      </c>
      <c r="C272" s="1">
        <v>0</v>
      </c>
      <c r="D272" s="1">
        <v>0</v>
      </c>
      <c r="E272" s="1">
        <v>0</v>
      </c>
      <c r="F272" s="1">
        <v>878</v>
      </c>
      <c r="H272" t="str">
        <f t="shared" si="8"/>
        <v>Veggie-spreadALFKI</v>
      </c>
      <c r="I272" t="str">
        <f>_xlfn.CONCAT(C272:D272:E272:F272)</f>
        <v>000878</v>
      </c>
      <c r="J272">
        <f>AVERAGE(C272:D272:E272:F272)</f>
        <v>219.5</v>
      </c>
      <c r="K272">
        <f t="shared" si="9"/>
        <v>0</v>
      </c>
    </row>
    <row r="273" spans="1:11" x14ac:dyDescent="0.3">
      <c r="A273" s="5" t="s">
        <v>109</v>
      </c>
      <c r="B273" t="s">
        <v>11</v>
      </c>
      <c r="C273" s="1">
        <v>2281.5</v>
      </c>
      <c r="D273" s="1">
        <v>0</v>
      </c>
      <c r="E273" s="1">
        <v>0</v>
      </c>
      <c r="F273" s="1">
        <v>0</v>
      </c>
      <c r="H273" t="str">
        <f t="shared" si="8"/>
        <v>Veggie-spreadERNSH</v>
      </c>
      <c r="I273" t="str">
        <f>_xlfn.CONCAT(C273:D273:E273:F273)</f>
        <v>2281.5000</v>
      </c>
      <c r="J273">
        <f>AVERAGE(C273:D273:E273:F273)</f>
        <v>570.375</v>
      </c>
      <c r="K273">
        <f t="shared" si="9"/>
        <v>0</v>
      </c>
    </row>
    <row r="274" spans="1:11" x14ac:dyDescent="0.3">
      <c r="A274" s="5" t="s">
        <v>109</v>
      </c>
      <c r="B274" t="s">
        <v>100</v>
      </c>
      <c r="C274" s="1">
        <v>0</v>
      </c>
      <c r="D274" s="1">
        <v>0</v>
      </c>
      <c r="E274" s="1">
        <v>0</v>
      </c>
      <c r="F274" s="1">
        <v>1317</v>
      </c>
      <c r="H274" t="str">
        <f t="shared" si="8"/>
        <v>Veggie-spreadFOLIG</v>
      </c>
      <c r="I274" t="str">
        <f>_xlfn.CONCAT(C274:D274:E274:F274)</f>
        <v>0001317</v>
      </c>
      <c r="J274">
        <f>AVERAGE(C274:D274:E274:F274)</f>
        <v>329.25</v>
      </c>
      <c r="K274">
        <f t="shared" si="9"/>
        <v>0</v>
      </c>
    </row>
    <row r="275" spans="1:11" x14ac:dyDescent="0.3">
      <c r="A275" s="5" t="s">
        <v>109</v>
      </c>
      <c r="B275" t="s">
        <v>68</v>
      </c>
      <c r="C275" s="1">
        <v>921.37</v>
      </c>
      <c r="D275" s="1">
        <v>0</v>
      </c>
      <c r="E275" s="1">
        <v>0</v>
      </c>
      <c r="F275" s="1">
        <v>0</v>
      </c>
      <c r="H275" t="str">
        <f t="shared" si="8"/>
        <v>Veggie-spreadHUNGO</v>
      </c>
      <c r="I275" t="str">
        <f>_xlfn.CONCAT(C275:D275:E275:F275)</f>
        <v>921.37000</v>
      </c>
      <c r="J275">
        <f>AVERAGE(C275:D275:E275:F275)</f>
        <v>230.3425</v>
      </c>
      <c r="K275">
        <f t="shared" si="9"/>
        <v>0</v>
      </c>
    </row>
    <row r="276" spans="1:11" x14ac:dyDescent="0.3">
      <c r="A276" s="5" t="s">
        <v>109</v>
      </c>
      <c r="B276" t="s">
        <v>92</v>
      </c>
      <c r="C276" s="1">
        <v>0</v>
      </c>
      <c r="D276" s="1">
        <v>263.39999999999998</v>
      </c>
      <c r="E276" s="1">
        <v>0</v>
      </c>
      <c r="F276" s="1">
        <v>0</v>
      </c>
      <c r="H276" t="str">
        <f t="shared" si="8"/>
        <v>Veggie-spreadMORGK</v>
      </c>
      <c r="I276" t="str">
        <f>_xlfn.CONCAT(C276:D276:E276:F276)</f>
        <v>0263.400</v>
      </c>
      <c r="J276">
        <f>AVERAGE(C276:D276:E276:F276)</f>
        <v>65.849999999999994</v>
      </c>
      <c r="K276">
        <f t="shared" si="9"/>
        <v>0</v>
      </c>
    </row>
    <row r="277" spans="1:11" x14ac:dyDescent="0.3">
      <c r="A277" s="5" t="s">
        <v>109</v>
      </c>
      <c r="B277" t="s">
        <v>14</v>
      </c>
      <c r="C277" s="1">
        <v>0</v>
      </c>
      <c r="D277" s="1">
        <v>0</v>
      </c>
      <c r="E277" s="1">
        <v>0</v>
      </c>
      <c r="F277" s="1">
        <v>395.1</v>
      </c>
      <c r="H277" t="str">
        <f t="shared" si="8"/>
        <v>Veggie-spreadPICCO</v>
      </c>
      <c r="I277" t="str">
        <f>_xlfn.CONCAT(C277:D277:E277:F277)</f>
        <v>000395.1</v>
      </c>
      <c r="J277">
        <f>AVERAGE(C277:D277:E277:F277)</f>
        <v>98.775000000000006</v>
      </c>
      <c r="K277">
        <f t="shared" si="9"/>
        <v>0</v>
      </c>
    </row>
    <row r="278" spans="1:11" x14ac:dyDescent="0.3">
      <c r="A278" s="5" t="s">
        <v>109</v>
      </c>
      <c r="B278" t="s">
        <v>19</v>
      </c>
      <c r="C278" s="1">
        <v>0</v>
      </c>
      <c r="D278" s="1">
        <v>0</v>
      </c>
      <c r="E278" s="1">
        <v>842.88</v>
      </c>
      <c r="F278" s="1">
        <v>0</v>
      </c>
      <c r="H278" t="str">
        <f t="shared" si="8"/>
        <v>Veggie-spreadWHITC</v>
      </c>
      <c r="I278" t="str">
        <f>_xlfn.CONCAT(C278:D278:E278:F278)</f>
        <v>00842.880</v>
      </c>
      <c r="J278">
        <f>AVERAGE(C278:D278:E278:F278)</f>
        <v>210.72</v>
      </c>
      <c r="K278">
        <f t="shared" si="9"/>
        <v>0</v>
      </c>
    </row>
    <row r="279" spans="1:11" x14ac:dyDescent="0.3">
      <c r="H279" t="str">
        <f t="shared" si="8"/>
        <v/>
      </c>
      <c r="I279" t="str">
        <f>_xlfn.CONCAT(C279:D279:E279:F279)</f>
        <v/>
      </c>
      <c r="K279">
        <f t="shared" si="9"/>
        <v>0</v>
      </c>
    </row>
    <row r="280" spans="1:11" x14ac:dyDescent="0.3">
      <c r="H280" t="str">
        <f t="shared" si="8"/>
        <v/>
      </c>
      <c r="I280" t="str">
        <f>_xlfn.CONCAT(C280:D280:E280:F280)</f>
        <v/>
      </c>
      <c r="K280">
        <f t="shared" si="9"/>
        <v>0</v>
      </c>
    </row>
    <row r="281" spans="1:11" x14ac:dyDescent="0.3">
      <c r="H281" t="str">
        <f t="shared" si="8"/>
        <v/>
      </c>
      <c r="I281" t="str">
        <f>_xlfn.CONCAT(C281:D281:E281:F281)</f>
        <v/>
      </c>
    </row>
    <row r="282" spans="1:11" x14ac:dyDescent="0.3">
      <c r="H282" t="str">
        <f t="shared" si="8"/>
        <v/>
      </c>
      <c r="I282" t="str">
        <f>_xlfn.CONCAT(C282:D282:E282:F282)</f>
        <v/>
      </c>
    </row>
    <row r="283" spans="1:11" x14ac:dyDescent="0.3">
      <c r="H283" t="str">
        <f t="shared" si="8"/>
        <v/>
      </c>
      <c r="I283" t="str">
        <f>_xlfn.CONCAT(C283:D283:E283:F283)</f>
        <v/>
      </c>
    </row>
    <row r="284" spans="1:11" x14ac:dyDescent="0.3">
      <c r="H284" t="str">
        <f t="shared" si="8"/>
        <v/>
      </c>
      <c r="I284" t="str">
        <f>_xlfn.CONCAT(C284:D284:E284:F284)</f>
        <v/>
      </c>
    </row>
    <row r="285" spans="1:11" x14ac:dyDescent="0.3">
      <c r="H285" t="str">
        <f t="shared" si="8"/>
        <v/>
      </c>
      <c r="I285" t="str">
        <f>_xlfn.CONCAT(C285:D285:E285:F285)</f>
        <v/>
      </c>
    </row>
    <row r="286" spans="1:11" x14ac:dyDescent="0.3">
      <c r="H286" t="str">
        <f t="shared" si="8"/>
        <v/>
      </c>
      <c r="I286" t="str">
        <f>_xlfn.CONCAT(C286:D286:E286:F286)</f>
        <v/>
      </c>
    </row>
    <row r="287" spans="1:11" x14ac:dyDescent="0.3">
      <c r="H287" t="str">
        <f t="shared" si="8"/>
        <v/>
      </c>
      <c r="I287" t="str">
        <f>_xlfn.CONCAT(C287:D287:E287:F287)</f>
        <v/>
      </c>
    </row>
    <row r="288" spans="1:11" x14ac:dyDescent="0.3">
      <c r="H288" t="str">
        <f t="shared" si="8"/>
        <v/>
      </c>
      <c r="I288" t="str">
        <f>_xlfn.CONCAT(C288:D288:E288:F288)</f>
        <v/>
      </c>
    </row>
    <row r="289" spans="8:9" x14ac:dyDescent="0.3">
      <c r="H289" t="str">
        <f t="shared" si="8"/>
        <v/>
      </c>
      <c r="I289" t="str">
        <f>_xlfn.CONCAT(C289:D289:E289:F289)</f>
        <v/>
      </c>
    </row>
    <row r="290" spans="8:9" x14ac:dyDescent="0.3">
      <c r="H290" t="str">
        <f t="shared" si="8"/>
        <v/>
      </c>
      <c r="I290" t="str">
        <f>_xlfn.CONCAT(C290:D290:E290:F290)</f>
        <v/>
      </c>
    </row>
    <row r="291" spans="8:9" x14ac:dyDescent="0.3">
      <c r="H291" t="str">
        <f t="shared" si="8"/>
        <v/>
      </c>
      <c r="I291" t="str">
        <f>_xlfn.CONCAT(C291:D291:E291:F291)</f>
        <v/>
      </c>
    </row>
    <row r="292" spans="8:9" x14ac:dyDescent="0.3">
      <c r="H292" t="str">
        <f t="shared" si="8"/>
        <v/>
      </c>
      <c r="I292" t="str">
        <f>_xlfn.CONCAT(C292:D292:E292:F292)</f>
        <v/>
      </c>
    </row>
    <row r="293" spans="8:9" x14ac:dyDescent="0.3">
      <c r="H293" t="str">
        <f t="shared" si="8"/>
        <v/>
      </c>
      <c r="I293" t="str">
        <f>_xlfn.CONCAT(C293:D293:E293:F293)</f>
        <v/>
      </c>
    </row>
    <row r="294" spans="8:9" x14ac:dyDescent="0.3">
      <c r="H294" t="str">
        <f t="shared" si="8"/>
        <v/>
      </c>
      <c r="I294" t="str">
        <f>_xlfn.CONCAT(C294:D294:E294:F294)</f>
        <v/>
      </c>
    </row>
    <row r="295" spans="8:9" x14ac:dyDescent="0.3">
      <c r="H295" t="str">
        <f t="shared" si="8"/>
        <v/>
      </c>
      <c r="I295" t="str">
        <f>_xlfn.CONCAT(C295:D295:E295:F295)</f>
        <v/>
      </c>
    </row>
    <row r="296" spans="8:9" x14ac:dyDescent="0.3">
      <c r="H296" t="str">
        <f t="shared" si="8"/>
        <v/>
      </c>
      <c r="I296" t="str">
        <f>_xlfn.CONCAT(C296:D296:E296:F296)</f>
        <v/>
      </c>
    </row>
    <row r="297" spans="8:9" x14ac:dyDescent="0.3">
      <c r="H297" t="str">
        <f t="shared" si="8"/>
        <v/>
      </c>
      <c r="I297" t="str">
        <f>_xlfn.CONCAT(C297:D297:E297:F297)</f>
        <v/>
      </c>
    </row>
    <row r="298" spans="8:9" x14ac:dyDescent="0.3">
      <c r="H298" t="str">
        <f t="shared" si="8"/>
        <v/>
      </c>
      <c r="I298" t="str">
        <f>_xlfn.CONCAT(C298:D298:E298:F298)</f>
        <v/>
      </c>
    </row>
    <row r="299" spans="8:9" x14ac:dyDescent="0.3">
      <c r="H299" t="str">
        <f t="shared" si="8"/>
        <v/>
      </c>
      <c r="I299" t="str">
        <f>_xlfn.CONCAT(C299:D299:E299:F299)</f>
        <v/>
      </c>
    </row>
    <row r="300" spans="8:9" x14ac:dyDescent="0.3">
      <c r="H300" t="str">
        <f t="shared" si="8"/>
        <v/>
      </c>
      <c r="I300" t="str">
        <f>_xlfn.CONCAT(C300:D300:E300:F300)</f>
        <v/>
      </c>
    </row>
    <row r="301" spans="8:9" x14ac:dyDescent="0.3">
      <c r="H301" t="str">
        <f t="shared" si="8"/>
        <v/>
      </c>
      <c r="I301" t="str">
        <f>_xlfn.CONCAT(C301:D301:E301:F301)</f>
        <v/>
      </c>
    </row>
    <row r="302" spans="8:9" x14ac:dyDescent="0.3">
      <c r="H302" t="str">
        <f t="shared" si="8"/>
        <v/>
      </c>
      <c r="I302" t="str">
        <f>_xlfn.CONCAT(C302:D302:E302:F302)</f>
        <v/>
      </c>
    </row>
    <row r="303" spans="8:9" x14ac:dyDescent="0.3">
      <c r="H303" t="str">
        <f t="shared" si="8"/>
        <v/>
      </c>
      <c r="I303" t="str">
        <f>_xlfn.CONCAT(C303:D303:E303:F303)</f>
        <v/>
      </c>
    </row>
    <row r="304" spans="8:9" x14ac:dyDescent="0.3">
      <c r="H304" t="str">
        <f t="shared" si="8"/>
        <v/>
      </c>
      <c r="I304" t="str">
        <f>_xlfn.CONCAT(C304:D304:E304:F304)</f>
        <v/>
      </c>
    </row>
    <row r="305" spans="8:9" x14ac:dyDescent="0.3">
      <c r="H305" t="str">
        <f t="shared" si="8"/>
        <v/>
      </c>
      <c r="I305" t="str">
        <f>_xlfn.CONCAT(C305:D305:E305:F305)</f>
        <v/>
      </c>
    </row>
    <row r="306" spans="8:9" x14ac:dyDescent="0.3">
      <c r="H306" t="str">
        <f t="shared" si="8"/>
        <v/>
      </c>
      <c r="I306" t="str">
        <f>_xlfn.CONCAT(C306:D306:E306:F306)</f>
        <v/>
      </c>
    </row>
    <row r="307" spans="8:9" x14ac:dyDescent="0.3">
      <c r="H307" t="str">
        <f t="shared" si="8"/>
        <v/>
      </c>
      <c r="I307" t="str">
        <f>_xlfn.CONCAT(C307:D307:E307:F307)</f>
        <v/>
      </c>
    </row>
    <row r="308" spans="8:9" x14ac:dyDescent="0.3">
      <c r="H308" t="str">
        <f t="shared" si="8"/>
        <v/>
      </c>
      <c r="I308" t="str">
        <f>_xlfn.CONCAT(C308:D308:E308:F308)</f>
        <v/>
      </c>
    </row>
    <row r="309" spans="8:9" x14ac:dyDescent="0.3">
      <c r="H309" t="str">
        <f t="shared" si="8"/>
        <v/>
      </c>
      <c r="I309" t="str">
        <f>_xlfn.CONCAT(C309:D309:E309:F309)</f>
        <v/>
      </c>
    </row>
    <row r="310" spans="8:9" x14ac:dyDescent="0.3">
      <c r="H310" t="str">
        <f t="shared" si="8"/>
        <v/>
      </c>
      <c r="I310" t="str">
        <f>_xlfn.CONCAT(C310:D310:E310:F310)</f>
        <v/>
      </c>
    </row>
    <row r="311" spans="8:9" x14ac:dyDescent="0.3">
      <c r="H311" t="str">
        <f t="shared" si="8"/>
        <v/>
      </c>
      <c r="I311" t="str">
        <f>_xlfn.CONCAT(C311:D311:E311:F311)</f>
        <v/>
      </c>
    </row>
    <row r="312" spans="8:9" x14ac:dyDescent="0.3">
      <c r="H312" t="str">
        <f t="shared" si="8"/>
        <v/>
      </c>
      <c r="I312" t="str">
        <f>_xlfn.CONCAT(C312:D312:E312:F312)</f>
        <v/>
      </c>
    </row>
    <row r="313" spans="8:9" x14ac:dyDescent="0.3">
      <c r="H313" t="str">
        <f t="shared" si="8"/>
        <v/>
      </c>
      <c r="I313" t="str">
        <f>_xlfn.CONCAT(C313:D313:E313:F313)</f>
        <v/>
      </c>
    </row>
    <row r="314" spans="8:9" x14ac:dyDescent="0.3">
      <c r="H314" t="str">
        <f t="shared" si="8"/>
        <v/>
      </c>
      <c r="I314" t="str">
        <f>_xlfn.CONCAT(C314:D314:E314:F314)</f>
        <v/>
      </c>
    </row>
    <row r="315" spans="8:9" x14ac:dyDescent="0.3">
      <c r="H315" t="str">
        <f t="shared" si="8"/>
        <v/>
      </c>
      <c r="I315" t="str">
        <f>_xlfn.CONCAT(C315:D315:E315:F315)</f>
        <v/>
      </c>
    </row>
    <row r="316" spans="8:9" x14ac:dyDescent="0.3">
      <c r="H316" t="str">
        <f t="shared" si="8"/>
        <v/>
      </c>
      <c r="I316" t="str">
        <f>_xlfn.CONCAT(C316:D316:E316:F316)</f>
        <v/>
      </c>
    </row>
    <row r="317" spans="8:9" x14ac:dyDescent="0.3">
      <c r="H317" t="str">
        <f t="shared" si="8"/>
        <v/>
      </c>
      <c r="I317" t="str">
        <f>_xlfn.CONCAT(C317:D317:E317:F317)</f>
        <v/>
      </c>
    </row>
    <row r="318" spans="8:9" x14ac:dyDescent="0.3">
      <c r="H318" t="str">
        <f t="shared" si="8"/>
        <v/>
      </c>
      <c r="I318" t="str">
        <f>_xlfn.CONCAT(C318:D318:E318:F318)</f>
        <v/>
      </c>
    </row>
    <row r="319" spans="8:9" x14ac:dyDescent="0.3">
      <c r="H319" t="str">
        <f t="shared" si="8"/>
        <v/>
      </c>
      <c r="I319" t="str">
        <f>_xlfn.CONCAT(C319:D319:E319:F319)</f>
        <v/>
      </c>
    </row>
    <row r="320" spans="8:9" x14ac:dyDescent="0.3">
      <c r="H320" t="str">
        <f t="shared" si="8"/>
        <v/>
      </c>
      <c r="I320" t="str">
        <f>_xlfn.CONCAT(C320:D320:E320:F320)</f>
        <v/>
      </c>
    </row>
    <row r="321" spans="8:9" x14ac:dyDescent="0.3">
      <c r="H321" t="str">
        <f t="shared" si="8"/>
        <v/>
      </c>
      <c r="I321" t="str">
        <f>_xlfn.CONCAT(C321:D321:E321:F321)</f>
        <v/>
      </c>
    </row>
    <row r="322" spans="8:9" x14ac:dyDescent="0.3">
      <c r="H322" t="str">
        <f t="shared" ref="H322:H339" si="10">_xlfn.CONCAT(A322:B322)</f>
        <v/>
      </c>
      <c r="I322" t="str">
        <f>_xlfn.CONCAT(C322:D322:E322:F322)</f>
        <v/>
      </c>
    </row>
    <row r="323" spans="8:9" x14ac:dyDescent="0.3">
      <c r="H323" t="str">
        <f t="shared" si="10"/>
        <v/>
      </c>
      <c r="I323" t="str">
        <f>_xlfn.CONCAT(C323:D323:E323:F323)</f>
        <v/>
      </c>
    </row>
    <row r="324" spans="8:9" x14ac:dyDescent="0.3">
      <c r="H324" t="str">
        <f t="shared" si="10"/>
        <v/>
      </c>
      <c r="I324" t="str">
        <f>_xlfn.CONCAT(C324:D324:E324:F324)</f>
        <v/>
      </c>
    </row>
    <row r="325" spans="8:9" x14ac:dyDescent="0.3">
      <c r="H325" t="str">
        <f t="shared" si="10"/>
        <v/>
      </c>
      <c r="I325" t="str">
        <f>_xlfn.CONCAT(C325:D325:E325:F325)</f>
        <v/>
      </c>
    </row>
    <row r="326" spans="8:9" x14ac:dyDescent="0.3">
      <c r="H326" t="str">
        <f t="shared" si="10"/>
        <v/>
      </c>
      <c r="I326" t="str">
        <f>_xlfn.CONCAT(C326:D326:E326:F326)</f>
        <v/>
      </c>
    </row>
    <row r="327" spans="8:9" x14ac:dyDescent="0.3">
      <c r="H327" t="str">
        <f t="shared" si="10"/>
        <v/>
      </c>
    </row>
    <row r="328" spans="8:9" x14ac:dyDescent="0.3">
      <c r="H328" t="str">
        <f t="shared" si="10"/>
        <v/>
      </c>
    </row>
    <row r="329" spans="8:9" x14ac:dyDescent="0.3">
      <c r="H329" t="str">
        <f t="shared" si="10"/>
        <v/>
      </c>
    </row>
    <row r="330" spans="8:9" x14ac:dyDescent="0.3">
      <c r="H330" t="str">
        <f t="shared" si="10"/>
        <v/>
      </c>
    </row>
    <row r="331" spans="8:9" x14ac:dyDescent="0.3">
      <c r="H331" t="str">
        <f t="shared" si="10"/>
        <v/>
      </c>
    </row>
    <row r="332" spans="8:9" x14ac:dyDescent="0.3">
      <c r="H332" t="str">
        <f t="shared" si="10"/>
        <v/>
      </c>
    </row>
    <row r="333" spans="8:9" x14ac:dyDescent="0.3">
      <c r="H333" t="str">
        <f t="shared" si="10"/>
        <v/>
      </c>
    </row>
    <row r="334" spans="8:9" x14ac:dyDescent="0.3">
      <c r="H334" t="str">
        <f t="shared" si="10"/>
        <v/>
      </c>
    </row>
    <row r="335" spans="8:9" x14ac:dyDescent="0.3">
      <c r="H335" t="str">
        <f t="shared" si="10"/>
        <v/>
      </c>
    </row>
    <row r="336" spans="8:9" x14ac:dyDescent="0.3">
      <c r="H336" t="str">
        <f t="shared" si="10"/>
        <v/>
      </c>
    </row>
    <row r="337" spans="8:8" x14ac:dyDescent="0.3">
      <c r="H337" t="str">
        <f t="shared" si="10"/>
        <v/>
      </c>
    </row>
    <row r="338" spans="8:8" x14ac:dyDescent="0.3">
      <c r="H338" t="str">
        <f t="shared" si="10"/>
        <v/>
      </c>
    </row>
    <row r="339" spans="8:8" x14ac:dyDescent="0.3">
      <c r="H339" t="str">
        <f t="shared" si="10"/>
        <v/>
      </c>
    </row>
  </sheetData>
  <sortState xmlns:xlrd2="http://schemas.microsoft.com/office/spreadsheetml/2017/richdata2" ref="A2:F278">
    <sortCondition ref="A1"/>
  </sortState>
  <printOptions gridLines="1"/>
  <pageMargins left="0.35" right="0.35" top="0.75" bottom="0.75" header="0.25" footer="0.25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workbookViewId="0">
      <selection activeCell="A8" sqref="A8"/>
    </sheetView>
  </sheetViews>
  <sheetFormatPr defaultRowHeight="14.4" x14ac:dyDescent="0.3"/>
  <cols>
    <col min="1" max="1" width="31.88671875" customWidth="1"/>
    <col min="2" max="5" width="13.441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20</v>
      </c>
      <c r="B9" s="4">
        <v>544</v>
      </c>
      <c r="C9" s="4">
        <v>600</v>
      </c>
      <c r="D9" s="4">
        <v>140</v>
      </c>
      <c r="E9" s="4">
        <v>440</v>
      </c>
    </row>
    <row r="10" spans="1:5" x14ac:dyDescent="0.3">
      <c r="A10" s="3" t="s">
        <v>25</v>
      </c>
      <c r="B10" s="4">
        <v>1768.41</v>
      </c>
      <c r="C10" s="4">
        <v>1978</v>
      </c>
      <c r="D10" s="4">
        <v>4412.32</v>
      </c>
      <c r="E10" s="4">
        <v>1656</v>
      </c>
    </row>
    <row r="11" spans="1:5" x14ac:dyDescent="0.3">
      <c r="A11" s="3" t="s">
        <v>38</v>
      </c>
      <c r="B11" s="4">
        <v>3182.4</v>
      </c>
      <c r="C11" s="4">
        <v>4683.5</v>
      </c>
      <c r="D11" s="4">
        <v>9579.5</v>
      </c>
      <c r="E11" s="4">
        <v>3060</v>
      </c>
    </row>
    <row r="12" spans="1:5" x14ac:dyDescent="0.3">
      <c r="A12" s="3" t="s">
        <v>51</v>
      </c>
      <c r="B12" s="4">
        <v>225.28</v>
      </c>
      <c r="C12" s="4">
        <v>2970</v>
      </c>
      <c r="D12" s="4">
        <v>1337.6</v>
      </c>
      <c r="E12" s="4">
        <v>682</v>
      </c>
    </row>
    <row r="13" spans="1:5" x14ac:dyDescent="0.3">
      <c r="A13" s="3" t="s">
        <v>55</v>
      </c>
      <c r="B13" s="4">
        <v>0</v>
      </c>
      <c r="C13" s="4">
        <v>0</v>
      </c>
      <c r="D13" s="4">
        <v>288.22000000000003</v>
      </c>
      <c r="E13" s="4">
        <v>85.4</v>
      </c>
    </row>
    <row r="14" spans="1:5" x14ac:dyDescent="0.3">
      <c r="A14" s="3" t="s">
        <v>57</v>
      </c>
      <c r="B14" s="4">
        <v>187.6</v>
      </c>
      <c r="C14" s="4">
        <v>742</v>
      </c>
      <c r="D14" s="4">
        <v>289.8</v>
      </c>
      <c r="E14" s="4">
        <v>904.75</v>
      </c>
    </row>
    <row r="15" spans="1:5" x14ac:dyDescent="0.3">
      <c r="A15" s="3" t="s">
        <v>65</v>
      </c>
      <c r="B15" s="4">
        <v>464.5</v>
      </c>
      <c r="C15" s="4">
        <v>3639.37</v>
      </c>
      <c r="D15" s="4">
        <v>515</v>
      </c>
      <c r="E15" s="4">
        <v>2681.87</v>
      </c>
    </row>
    <row r="16" spans="1:5" x14ac:dyDescent="0.3">
      <c r="A16" s="3" t="s">
        <v>72</v>
      </c>
      <c r="B16" s="4">
        <v>0</v>
      </c>
      <c r="C16" s="4">
        <v>0</v>
      </c>
      <c r="D16" s="4">
        <v>1750</v>
      </c>
      <c r="E16" s="4">
        <v>750</v>
      </c>
    </row>
    <row r="17" spans="1:5" x14ac:dyDescent="0.3">
      <c r="A17" s="3" t="s">
        <v>73</v>
      </c>
      <c r="B17" s="4">
        <v>1398.4</v>
      </c>
      <c r="C17" s="4">
        <v>4496.5</v>
      </c>
      <c r="D17" s="4">
        <v>1196</v>
      </c>
      <c r="E17" s="4">
        <v>3979</v>
      </c>
    </row>
    <row r="18" spans="1:5" x14ac:dyDescent="0.3">
      <c r="A18" s="3" t="s">
        <v>78</v>
      </c>
      <c r="B18" s="4">
        <v>385</v>
      </c>
      <c r="C18" s="4">
        <v>1325.03</v>
      </c>
      <c r="D18" s="4">
        <v>1582.6</v>
      </c>
      <c r="E18" s="4">
        <v>1664.62</v>
      </c>
    </row>
    <row r="19" spans="1:5" x14ac:dyDescent="0.3">
      <c r="A19" s="3" t="s">
        <v>79</v>
      </c>
      <c r="B19" s="4">
        <v>0</v>
      </c>
      <c r="C19" s="4">
        <v>518</v>
      </c>
      <c r="D19" s="4">
        <v>350</v>
      </c>
      <c r="E19" s="4">
        <v>42</v>
      </c>
    </row>
    <row r="20" spans="1:5" x14ac:dyDescent="0.3">
      <c r="A20" s="3" t="s">
        <v>82</v>
      </c>
      <c r="B20" s="4">
        <v>488</v>
      </c>
      <c r="C20" s="4">
        <v>0</v>
      </c>
      <c r="D20" s="4">
        <v>0</v>
      </c>
      <c r="E20" s="4">
        <v>512.5</v>
      </c>
    </row>
    <row r="21" spans="1:5" x14ac:dyDescent="0.3">
      <c r="A21" s="3" t="s">
        <v>84</v>
      </c>
      <c r="B21" s="4">
        <v>1347.36</v>
      </c>
      <c r="C21" s="4">
        <v>2750.69</v>
      </c>
      <c r="D21" s="4">
        <v>1375.62</v>
      </c>
      <c r="E21" s="4">
        <v>3899.51</v>
      </c>
    </row>
    <row r="22" spans="1:5" x14ac:dyDescent="0.3">
      <c r="A22" s="3" t="s">
        <v>87</v>
      </c>
      <c r="B22" s="4">
        <v>1509.6</v>
      </c>
      <c r="C22" s="4">
        <v>530.4</v>
      </c>
      <c r="D22" s="4">
        <v>68</v>
      </c>
      <c r="E22" s="4">
        <v>850</v>
      </c>
    </row>
    <row r="23" spans="1:5" x14ac:dyDescent="0.3">
      <c r="A23" s="3" t="s">
        <v>88</v>
      </c>
      <c r="B23" s="4">
        <v>1390</v>
      </c>
      <c r="C23" s="4">
        <v>4488.2</v>
      </c>
      <c r="D23" s="4">
        <v>3027.6</v>
      </c>
      <c r="E23" s="4">
        <v>2697</v>
      </c>
    </row>
    <row r="24" spans="1:5" x14ac:dyDescent="0.3">
      <c r="A24" s="3" t="s">
        <v>94</v>
      </c>
      <c r="B24" s="4">
        <v>0</v>
      </c>
      <c r="C24" s="4">
        <v>1300</v>
      </c>
      <c r="D24" s="4">
        <v>0</v>
      </c>
      <c r="E24" s="4">
        <v>2960</v>
      </c>
    </row>
    <row r="25" spans="1:5" x14ac:dyDescent="0.3">
      <c r="A25" s="3" t="s">
        <v>95</v>
      </c>
      <c r="B25" s="4">
        <v>499.2</v>
      </c>
      <c r="C25" s="4">
        <v>282.75</v>
      </c>
      <c r="D25" s="4">
        <v>390</v>
      </c>
      <c r="E25" s="4">
        <v>984.75</v>
      </c>
    </row>
    <row r="26" spans="1:5" x14ac:dyDescent="0.3">
      <c r="A26" s="3" t="s">
        <v>97</v>
      </c>
      <c r="B26" s="4">
        <v>551.6</v>
      </c>
      <c r="C26" s="4">
        <v>665</v>
      </c>
      <c r="D26" s="4">
        <v>0</v>
      </c>
      <c r="E26" s="4">
        <v>890.4</v>
      </c>
    </row>
    <row r="27" spans="1:5" x14ac:dyDescent="0.3">
      <c r="A27" s="3" t="s">
        <v>98</v>
      </c>
      <c r="B27" s="4">
        <v>0</v>
      </c>
      <c r="C27" s="4">
        <v>4252.5</v>
      </c>
      <c r="D27" s="4">
        <v>3061.8</v>
      </c>
      <c r="E27" s="4">
        <v>0</v>
      </c>
    </row>
    <row r="28" spans="1:5" x14ac:dyDescent="0.3">
      <c r="A28" s="3" t="s">
        <v>99</v>
      </c>
      <c r="B28" s="4">
        <v>1462</v>
      </c>
      <c r="C28" s="4">
        <v>644</v>
      </c>
      <c r="D28" s="4">
        <v>1733</v>
      </c>
      <c r="E28" s="4">
        <v>1434</v>
      </c>
    </row>
    <row r="29" spans="1:5" x14ac:dyDescent="0.3">
      <c r="A29" s="3" t="s">
        <v>104</v>
      </c>
      <c r="B29" s="4">
        <v>1310.4000000000001</v>
      </c>
      <c r="C29" s="4">
        <v>1368</v>
      </c>
      <c r="D29" s="4">
        <v>1323</v>
      </c>
      <c r="E29" s="4">
        <v>1273.5</v>
      </c>
    </row>
    <row r="30" spans="1:5" x14ac:dyDescent="0.3">
      <c r="A30" s="3" t="s">
        <v>106</v>
      </c>
      <c r="B30" s="4">
        <v>943.89</v>
      </c>
      <c r="C30" s="4">
        <v>349.6</v>
      </c>
      <c r="D30" s="4">
        <v>841.8</v>
      </c>
      <c r="E30" s="4">
        <v>851.46</v>
      </c>
    </row>
    <row r="31" spans="1:5" x14ac:dyDescent="0.3">
      <c r="A31" s="3" t="s">
        <v>107</v>
      </c>
      <c r="B31" s="4">
        <v>1084.8</v>
      </c>
      <c r="C31" s="4">
        <v>1575</v>
      </c>
      <c r="D31" s="4">
        <v>2700</v>
      </c>
      <c r="E31" s="4">
        <v>3826.5</v>
      </c>
    </row>
    <row r="32" spans="1:5" x14ac:dyDescent="0.3">
      <c r="A32" s="3" t="s">
        <v>109</v>
      </c>
      <c r="B32" s="4">
        <v>3202.87</v>
      </c>
      <c r="C32" s="4">
        <v>263.39999999999998</v>
      </c>
      <c r="D32" s="4">
        <v>842.88</v>
      </c>
      <c r="E32" s="4">
        <v>2590.1</v>
      </c>
    </row>
    <row r="33" spans="1:5" x14ac:dyDescent="0.3">
      <c r="A33" s="3" t="s">
        <v>108</v>
      </c>
      <c r="B33" s="4">
        <v>24612.91</v>
      </c>
      <c r="C33" s="4">
        <v>43435.040000000001</v>
      </c>
      <c r="D33" s="4">
        <v>41640.74</v>
      </c>
      <c r="E33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6"/>
  <sheetViews>
    <sheetView workbookViewId="0">
      <selection activeCell="A9" sqref="A9"/>
    </sheetView>
  </sheetViews>
  <sheetFormatPr defaultColWidth="26.6640625" defaultRowHeight="14.4" x14ac:dyDescent="0.3"/>
  <cols>
    <col min="1" max="1" width="33.88671875" customWidth="1"/>
    <col min="2" max="5" width="13.44140625" customWidth="1"/>
    <col min="6" max="6" width="26.66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/>
      <c r="C8" s="4"/>
      <c r="D8" s="4"/>
      <c r="E8" s="4"/>
    </row>
    <row r="9" spans="1:5" x14ac:dyDescent="0.3">
      <c r="A9" s="6" t="s">
        <v>7</v>
      </c>
      <c r="B9" s="4">
        <v>0</v>
      </c>
      <c r="C9" s="4">
        <v>702</v>
      </c>
      <c r="D9" s="4">
        <v>0</v>
      </c>
      <c r="E9" s="4">
        <v>0</v>
      </c>
    </row>
    <row r="10" spans="1:5" x14ac:dyDescent="0.3">
      <c r="A10" s="6" t="s">
        <v>8</v>
      </c>
      <c r="B10" s="4">
        <v>312</v>
      </c>
      <c r="C10" s="4">
        <v>0</v>
      </c>
      <c r="D10" s="4">
        <v>0</v>
      </c>
      <c r="E10" s="4">
        <v>0</v>
      </c>
    </row>
    <row r="11" spans="1:5" x14ac:dyDescent="0.3">
      <c r="A11" s="6" t="s">
        <v>9</v>
      </c>
      <c r="B11" s="4">
        <v>0</v>
      </c>
      <c r="C11" s="4">
        <v>0</v>
      </c>
      <c r="D11" s="4">
        <v>0</v>
      </c>
      <c r="E11" s="4">
        <v>1170</v>
      </c>
    </row>
    <row r="12" spans="1:5" x14ac:dyDescent="0.3">
      <c r="A12" s="6" t="s">
        <v>10</v>
      </c>
      <c r="B12" s="4">
        <v>1170</v>
      </c>
      <c r="C12" s="4">
        <v>0</v>
      </c>
      <c r="D12" s="4">
        <v>0</v>
      </c>
      <c r="E12" s="4">
        <v>0</v>
      </c>
    </row>
    <row r="13" spans="1:5" x14ac:dyDescent="0.3">
      <c r="A13" s="6" t="s">
        <v>11</v>
      </c>
      <c r="B13" s="4">
        <v>1123.2</v>
      </c>
      <c r="C13" s="4">
        <v>0</v>
      </c>
      <c r="D13" s="4">
        <v>0</v>
      </c>
      <c r="E13" s="4">
        <v>2607.15</v>
      </c>
    </row>
    <row r="14" spans="1:5" x14ac:dyDescent="0.3">
      <c r="A14" s="6" t="s">
        <v>12</v>
      </c>
      <c r="B14" s="4">
        <v>0</v>
      </c>
      <c r="C14" s="4">
        <v>280.8</v>
      </c>
      <c r="D14" s="4">
        <v>0</v>
      </c>
      <c r="E14" s="4">
        <v>0</v>
      </c>
    </row>
    <row r="15" spans="1:5" x14ac:dyDescent="0.3">
      <c r="A15" s="6" t="s">
        <v>13</v>
      </c>
      <c r="B15" s="4">
        <v>62.4</v>
      </c>
      <c r="C15" s="4">
        <v>0</v>
      </c>
      <c r="D15" s="4">
        <v>0</v>
      </c>
      <c r="E15" s="4">
        <v>0</v>
      </c>
    </row>
    <row r="16" spans="1:5" x14ac:dyDescent="0.3">
      <c r="A16" s="6" t="s">
        <v>14</v>
      </c>
      <c r="B16" s="4">
        <v>0</v>
      </c>
      <c r="C16" s="4">
        <v>1560</v>
      </c>
      <c r="D16" s="4">
        <v>936</v>
      </c>
      <c r="E16" s="4">
        <v>0</v>
      </c>
    </row>
    <row r="17" spans="1:5" x14ac:dyDescent="0.3">
      <c r="A17" s="6" t="s">
        <v>15</v>
      </c>
      <c r="B17" s="4">
        <v>0</v>
      </c>
      <c r="C17" s="4">
        <v>592.79999999999995</v>
      </c>
      <c r="D17" s="4">
        <v>0</v>
      </c>
      <c r="E17" s="4">
        <v>0</v>
      </c>
    </row>
    <row r="18" spans="1:5" x14ac:dyDescent="0.3">
      <c r="A18" s="6" t="s">
        <v>16</v>
      </c>
      <c r="B18" s="4">
        <v>0</v>
      </c>
      <c r="C18" s="4">
        <v>0</v>
      </c>
      <c r="D18" s="4">
        <v>0</v>
      </c>
      <c r="E18" s="4">
        <v>741</v>
      </c>
    </row>
    <row r="19" spans="1:5" x14ac:dyDescent="0.3">
      <c r="A19" s="6" t="s">
        <v>17</v>
      </c>
      <c r="B19" s="4">
        <v>0</v>
      </c>
      <c r="C19" s="4">
        <v>0</v>
      </c>
      <c r="D19" s="4">
        <v>3900</v>
      </c>
      <c r="E19" s="4">
        <v>789.75</v>
      </c>
    </row>
    <row r="20" spans="1:5" x14ac:dyDescent="0.3">
      <c r="A20" s="6" t="s">
        <v>18</v>
      </c>
      <c r="B20" s="4">
        <v>0</v>
      </c>
      <c r="C20" s="4">
        <v>877.5</v>
      </c>
      <c r="D20" s="4">
        <v>0</v>
      </c>
      <c r="E20" s="4">
        <v>0</v>
      </c>
    </row>
    <row r="21" spans="1:5" x14ac:dyDescent="0.3">
      <c r="A21" s="6" t="s">
        <v>19</v>
      </c>
      <c r="B21" s="4">
        <v>0</v>
      </c>
      <c r="C21" s="4">
        <v>0</v>
      </c>
      <c r="D21" s="4">
        <v>0</v>
      </c>
      <c r="E21" s="4">
        <v>780</v>
      </c>
    </row>
    <row r="22" spans="1:5" x14ac:dyDescent="0.3">
      <c r="A22" s="3" t="s">
        <v>20</v>
      </c>
      <c r="B22" s="4">
        <v>544</v>
      </c>
      <c r="C22" s="4">
        <v>600</v>
      </c>
      <c r="D22" s="4">
        <v>140</v>
      </c>
      <c r="E22" s="4">
        <v>440</v>
      </c>
    </row>
    <row r="23" spans="1:5" x14ac:dyDescent="0.3">
      <c r="A23" s="3" t="s">
        <v>25</v>
      </c>
      <c r="B23" s="4">
        <v>1768.41</v>
      </c>
      <c r="C23" s="4">
        <v>1978</v>
      </c>
      <c r="D23" s="4">
        <v>4412.32</v>
      </c>
      <c r="E23" s="4">
        <v>1656</v>
      </c>
    </row>
    <row r="24" spans="1:5" x14ac:dyDescent="0.3">
      <c r="A24" s="3" t="s">
        <v>38</v>
      </c>
      <c r="B24" s="4">
        <v>3182.4</v>
      </c>
      <c r="C24" s="4">
        <v>4683.5</v>
      </c>
      <c r="D24" s="4">
        <v>9579.5</v>
      </c>
      <c r="E24" s="4">
        <v>3060</v>
      </c>
    </row>
    <row r="25" spans="1:5" x14ac:dyDescent="0.3">
      <c r="A25" s="3" t="s">
        <v>51</v>
      </c>
      <c r="B25" s="4">
        <v>225.28</v>
      </c>
      <c r="C25" s="4">
        <v>2970</v>
      </c>
      <c r="D25" s="4">
        <v>1337.6</v>
      </c>
      <c r="E25" s="4">
        <v>682</v>
      </c>
    </row>
    <row r="26" spans="1:5" x14ac:dyDescent="0.3">
      <c r="A26" s="3" t="s">
        <v>55</v>
      </c>
      <c r="B26" s="4">
        <v>0</v>
      </c>
      <c r="C26" s="4">
        <v>0</v>
      </c>
      <c r="D26" s="4">
        <v>288.22000000000003</v>
      </c>
      <c r="E26" s="4">
        <v>85.4</v>
      </c>
    </row>
    <row r="27" spans="1:5" x14ac:dyDescent="0.3">
      <c r="A27" s="3" t="s">
        <v>57</v>
      </c>
      <c r="B27" s="4">
        <v>187.6</v>
      </c>
      <c r="C27" s="4">
        <v>742</v>
      </c>
      <c r="D27" s="4">
        <v>289.8</v>
      </c>
      <c r="E27" s="4">
        <v>904.75</v>
      </c>
    </row>
    <row r="28" spans="1:5" x14ac:dyDescent="0.3">
      <c r="A28" s="3" t="s">
        <v>65</v>
      </c>
      <c r="B28" s="4">
        <v>464.5</v>
      </c>
      <c r="C28" s="4">
        <v>3639.37</v>
      </c>
      <c r="D28" s="4">
        <v>515</v>
      </c>
      <c r="E28" s="4">
        <v>2681.87</v>
      </c>
    </row>
    <row r="29" spans="1:5" x14ac:dyDescent="0.3">
      <c r="A29" s="3" t="s">
        <v>72</v>
      </c>
      <c r="B29" s="4">
        <v>0</v>
      </c>
      <c r="C29" s="4">
        <v>0</v>
      </c>
      <c r="D29" s="4">
        <v>1750</v>
      </c>
      <c r="E29" s="4">
        <v>750</v>
      </c>
    </row>
    <row r="30" spans="1:5" x14ac:dyDescent="0.3">
      <c r="A30" s="3" t="s">
        <v>73</v>
      </c>
      <c r="B30" s="4">
        <v>1398.4</v>
      </c>
      <c r="C30" s="4">
        <v>4496.5</v>
      </c>
      <c r="D30" s="4">
        <v>1196</v>
      </c>
      <c r="E30" s="4">
        <v>3979</v>
      </c>
    </row>
    <row r="31" spans="1:5" x14ac:dyDescent="0.3">
      <c r="A31" s="3" t="s">
        <v>78</v>
      </c>
      <c r="B31" s="4">
        <v>385</v>
      </c>
      <c r="C31" s="4">
        <v>1325.03</v>
      </c>
      <c r="D31" s="4">
        <v>1582.6</v>
      </c>
      <c r="E31" s="4">
        <v>1664.62</v>
      </c>
    </row>
    <row r="32" spans="1:5" x14ac:dyDescent="0.3">
      <c r="A32" s="3" t="s">
        <v>79</v>
      </c>
      <c r="B32" s="4">
        <v>0</v>
      </c>
      <c r="C32" s="4">
        <v>518</v>
      </c>
      <c r="D32" s="4">
        <v>350</v>
      </c>
      <c r="E32" s="4">
        <v>42</v>
      </c>
    </row>
    <row r="33" spans="1:5" x14ac:dyDescent="0.3">
      <c r="A33" s="3" t="s">
        <v>82</v>
      </c>
      <c r="B33" s="4">
        <v>488</v>
      </c>
      <c r="C33" s="4">
        <v>0</v>
      </c>
      <c r="D33" s="4">
        <v>0</v>
      </c>
      <c r="E33" s="4">
        <v>512.5</v>
      </c>
    </row>
    <row r="34" spans="1:5" x14ac:dyDescent="0.3">
      <c r="A34" s="3" t="s">
        <v>84</v>
      </c>
      <c r="B34" s="4">
        <v>1347.36</v>
      </c>
      <c r="C34" s="4">
        <v>2750.69</v>
      </c>
      <c r="D34" s="4">
        <v>1375.62</v>
      </c>
      <c r="E34" s="4">
        <v>3899.51</v>
      </c>
    </row>
    <row r="35" spans="1:5" x14ac:dyDescent="0.3">
      <c r="A35" s="3" t="s">
        <v>87</v>
      </c>
      <c r="B35" s="4">
        <v>1509.6</v>
      </c>
      <c r="C35" s="4">
        <v>530.4</v>
      </c>
      <c r="D35" s="4">
        <v>68</v>
      </c>
      <c r="E35" s="4">
        <v>850</v>
      </c>
    </row>
    <row r="36" spans="1:5" x14ac:dyDescent="0.3">
      <c r="A36" s="3" t="s">
        <v>88</v>
      </c>
      <c r="B36" s="4">
        <v>1390</v>
      </c>
      <c r="C36" s="4">
        <v>4488.2</v>
      </c>
      <c r="D36" s="4">
        <v>3027.6</v>
      </c>
      <c r="E36" s="4">
        <v>2697</v>
      </c>
    </row>
    <row r="37" spans="1:5" x14ac:dyDescent="0.3">
      <c r="A37" s="3" t="s">
        <v>94</v>
      </c>
      <c r="B37" s="4">
        <v>0</v>
      </c>
      <c r="C37" s="4">
        <v>1300</v>
      </c>
      <c r="D37" s="4">
        <v>0</v>
      </c>
      <c r="E37" s="4">
        <v>2960</v>
      </c>
    </row>
    <row r="38" spans="1:5" x14ac:dyDescent="0.3">
      <c r="A38" s="3" t="s">
        <v>95</v>
      </c>
      <c r="B38" s="4">
        <v>499.2</v>
      </c>
      <c r="C38" s="4">
        <v>282.75</v>
      </c>
      <c r="D38" s="4">
        <v>390</v>
      </c>
      <c r="E38" s="4">
        <v>984.75</v>
      </c>
    </row>
    <row r="39" spans="1:5" x14ac:dyDescent="0.3">
      <c r="A39" s="3" t="s">
        <v>97</v>
      </c>
      <c r="B39" s="4">
        <v>551.6</v>
      </c>
      <c r="C39" s="4">
        <v>665</v>
      </c>
      <c r="D39" s="4">
        <v>0</v>
      </c>
      <c r="E39" s="4">
        <v>890.4</v>
      </c>
    </row>
    <row r="40" spans="1:5" x14ac:dyDescent="0.3">
      <c r="A40" s="3" t="s">
        <v>98</v>
      </c>
      <c r="B40" s="4">
        <v>0</v>
      </c>
      <c r="C40" s="4">
        <v>4252.5</v>
      </c>
      <c r="D40" s="4">
        <v>3061.8</v>
      </c>
      <c r="E40" s="4">
        <v>0</v>
      </c>
    </row>
    <row r="41" spans="1:5" x14ac:dyDescent="0.3">
      <c r="A41" s="3" t="s">
        <v>99</v>
      </c>
      <c r="B41" s="4">
        <v>1462</v>
      </c>
      <c r="C41" s="4">
        <v>644</v>
      </c>
      <c r="D41" s="4">
        <v>1733</v>
      </c>
      <c r="E41" s="4">
        <v>1434</v>
      </c>
    </row>
    <row r="42" spans="1:5" x14ac:dyDescent="0.3">
      <c r="A42" s="3" t="s">
        <v>104</v>
      </c>
      <c r="B42" s="4">
        <v>1310.4000000000001</v>
      </c>
      <c r="C42" s="4">
        <v>1368</v>
      </c>
      <c r="D42" s="4">
        <v>1323</v>
      </c>
      <c r="E42" s="4">
        <v>1273.5</v>
      </c>
    </row>
    <row r="43" spans="1:5" x14ac:dyDescent="0.3">
      <c r="A43" s="3" t="s">
        <v>106</v>
      </c>
      <c r="B43" s="4">
        <v>943.89</v>
      </c>
      <c r="C43" s="4">
        <v>349.6</v>
      </c>
      <c r="D43" s="4">
        <v>841.8</v>
      </c>
      <c r="E43" s="4">
        <v>851.46</v>
      </c>
    </row>
    <row r="44" spans="1:5" x14ac:dyDescent="0.3">
      <c r="A44" s="3" t="s">
        <v>107</v>
      </c>
      <c r="B44" s="4">
        <v>1084.8</v>
      </c>
      <c r="C44" s="4">
        <v>1575</v>
      </c>
      <c r="D44" s="4">
        <v>2700</v>
      </c>
      <c r="E44" s="4">
        <v>3826.5</v>
      </c>
    </row>
    <row r="45" spans="1:5" x14ac:dyDescent="0.3">
      <c r="A45" s="3" t="s">
        <v>109</v>
      </c>
      <c r="B45" s="4">
        <v>3202.87</v>
      </c>
      <c r="C45" s="4">
        <v>263.39999999999998</v>
      </c>
      <c r="D45" s="4">
        <v>842.88</v>
      </c>
      <c r="E45" s="4">
        <v>2590.1</v>
      </c>
    </row>
    <row r="46" spans="1:5" x14ac:dyDescent="0.3">
      <c r="A46" s="3" t="s">
        <v>108</v>
      </c>
      <c r="B46" s="4">
        <v>24612.91</v>
      </c>
      <c r="C46" s="4">
        <v>43435.040000000001</v>
      </c>
      <c r="D46" s="4">
        <v>41640.74</v>
      </c>
      <c r="E46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8" sqref="A8"/>
    </sheetView>
  </sheetViews>
  <sheetFormatPr defaultRowHeight="14.4" x14ac:dyDescent="0.3"/>
  <cols>
    <col min="1" max="1" width="32.6640625" customWidth="1"/>
    <col min="2" max="5" width="13.44140625" customWidth="1"/>
  </cols>
  <sheetData>
    <row r="1" spans="1:5" x14ac:dyDescent="0.3">
      <c r="A1" t="s">
        <v>111</v>
      </c>
    </row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25</v>
      </c>
      <c r="B9" s="4">
        <v>1768.41</v>
      </c>
      <c r="C9" s="4">
        <v>1978</v>
      </c>
      <c r="D9" s="4">
        <v>4412.32</v>
      </c>
      <c r="E9" s="4">
        <v>1656</v>
      </c>
    </row>
    <row r="10" spans="1:5" x14ac:dyDescent="0.3">
      <c r="A10" s="3" t="s">
        <v>38</v>
      </c>
      <c r="B10" s="4">
        <v>3182.4</v>
      </c>
      <c r="C10" s="4">
        <v>4683.5</v>
      </c>
      <c r="D10" s="4">
        <v>9579.5</v>
      </c>
      <c r="E10" s="4">
        <v>3060</v>
      </c>
    </row>
    <row r="11" spans="1:5" x14ac:dyDescent="0.3">
      <c r="A11" s="3" t="s">
        <v>73</v>
      </c>
      <c r="B11" s="4">
        <v>1398.4</v>
      </c>
      <c r="C11" s="4">
        <v>4496.5</v>
      </c>
      <c r="D11" s="4">
        <v>1196</v>
      </c>
      <c r="E11" s="4">
        <v>3979</v>
      </c>
    </row>
    <row r="12" spans="1:5" x14ac:dyDescent="0.3">
      <c r="A12" s="3" t="s">
        <v>84</v>
      </c>
      <c r="B12" s="4">
        <v>1347.36</v>
      </c>
      <c r="C12" s="4">
        <v>2750.69</v>
      </c>
      <c r="D12" s="4">
        <v>1375.62</v>
      </c>
      <c r="E12" s="4">
        <v>3899.51</v>
      </c>
    </row>
    <row r="13" spans="1:5" x14ac:dyDescent="0.3">
      <c r="A13" s="3" t="s">
        <v>87</v>
      </c>
      <c r="B13" s="4">
        <v>1509.6</v>
      </c>
      <c r="C13" s="4">
        <v>530.4</v>
      </c>
      <c r="D13" s="4">
        <v>68</v>
      </c>
      <c r="E13" s="4">
        <v>850</v>
      </c>
    </row>
    <row r="14" spans="1:5" x14ac:dyDescent="0.3">
      <c r="A14" s="3" t="s">
        <v>88</v>
      </c>
      <c r="B14" s="4">
        <v>1390</v>
      </c>
      <c r="C14" s="4">
        <v>4488.2</v>
      </c>
      <c r="D14" s="4">
        <v>3027.6</v>
      </c>
      <c r="E14" s="4">
        <v>2697</v>
      </c>
    </row>
    <row r="15" spans="1:5" x14ac:dyDescent="0.3">
      <c r="A15" s="3" t="s">
        <v>99</v>
      </c>
      <c r="B15" s="4">
        <v>1462</v>
      </c>
      <c r="C15" s="4">
        <v>644</v>
      </c>
      <c r="D15" s="4">
        <v>1733</v>
      </c>
      <c r="E15" s="4">
        <v>1434</v>
      </c>
    </row>
    <row r="16" spans="1:5" x14ac:dyDescent="0.3">
      <c r="A16" s="3" t="s">
        <v>104</v>
      </c>
      <c r="B16" s="4">
        <v>1310.4000000000001</v>
      </c>
      <c r="C16" s="4">
        <v>1368</v>
      </c>
      <c r="D16" s="4">
        <v>1323</v>
      </c>
      <c r="E16" s="4">
        <v>1273.5</v>
      </c>
    </row>
    <row r="17" spans="1:5" x14ac:dyDescent="0.3">
      <c r="A17" s="3" t="s">
        <v>109</v>
      </c>
      <c r="B17" s="4">
        <v>3202.87</v>
      </c>
      <c r="C17" s="4">
        <v>263.39999999999998</v>
      </c>
      <c r="D17" s="4">
        <v>842.88</v>
      </c>
      <c r="E17" s="4">
        <v>2590.1</v>
      </c>
    </row>
    <row r="18" spans="1:5" x14ac:dyDescent="0.3">
      <c r="A18" s="3" t="s">
        <v>108</v>
      </c>
      <c r="B18" s="4">
        <v>19239.04</v>
      </c>
      <c r="C18" s="4">
        <v>25215.79</v>
      </c>
      <c r="D18" s="4">
        <v>28393.919999999998</v>
      </c>
      <c r="E18" s="4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By Product</vt:lpstr>
      <vt:lpstr>By Product-Customer</vt:lpstr>
      <vt:lpstr>By Product-Customer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Bablu Singh</dc:creator>
  <cp:lastModifiedBy>Bablu Singh</cp:lastModifiedBy>
  <dcterms:created xsi:type="dcterms:W3CDTF">2005-11-07T21:29:08Z</dcterms:created>
  <dcterms:modified xsi:type="dcterms:W3CDTF">2026-01-01T10:31:51Z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